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tesdnet-my.sharepoint.com/personal/27matamr_tesdk12_net/Documents/"/>
    </mc:Choice>
  </mc:AlternateContent>
  <xr:revisionPtr revIDLastSave="0" documentId="8_{1FB19DF2-1A3F-44B5-B25D-07E314BA4D01}" xr6:coauthVersionLast="47" xr6:coauthVersionMax="47" xr10:uidLastSave="{00000000-0000-0000-0000-000000000000}"/>
  <bookViews>
    <workbookView xWindow="0" yWindow="660" windowWidth="30240" windowHeight="18980" firstSheet="2" xr2:uid="{00000000-000D-0000-FFFF-FFFF00000000}"/>
  </bookViews>
  <sheets>
    <sheet name="Expenditures (U.S.)" sheetId="1" r:id="rId1"/>
    <sheet name="Expenditures (U.K.)" sheetId="2" r:id="rId2"/>
    <sheet name="Gambling Industry Revenue (U.S." sheetId="3" r:id="rId3"/>
    <sheet name="Online Sports Betting Personal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E3" i="3"/>
  <c r="D3" i="3"/>
</calcChain>
</file>

<file path=xl/sharedStrings.xml><?xml version="1.0" encoding="utf-8"?>
<sst xmlns="http://schemas.openxmlformats.org/spreadsheetml/2006/main" count="418" uniqueCount="223">
  <si>
    <r>
      <rPr>
        <b/>
        <sz val="14"/>
        <color theme="1"/>
        <rFont val="Arial"/>
      </rPr>
      <t>Average Annual Household Expenditures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Average expenditures (in USD) for various spending categories</t>
    </r>
  </si>
  <si>
    <r>
      <rPr>
        <b/>
        <sz val="12"/>
        <color theme="1"/>
        <rFont val="Arial"/>
      </rPr>
      <t>By age of household reference person</t>
    </r>
    <r>
      <rPr>
        <sz val="12"/>
        <color theme="1"/>
        <rFont val="Arial"/>
      </rPr>
      <t>¹</t>
    </r>
  </si>
  <si>
    <t>By region of residence</t>
  </si>
  <si>
    <t>Age Group</t>
  </si>
  <si>
    <t>Under 25</t>
  </si>
  <si>
    <t>25-34</t>
  </si>
  <si>
    <t>35-44</t>
  </si>
  <si>
    <t>45-54</t>
  </si>
  <si>
    <t>55-64</t>
  </si>
  <si>
    <t>65-74</t>
  </si>
  <si>
    <t>75 and older</t>
  </si>
  <si>
    <t>Northeast</t>
  </si>
  <si>
    <t>Midwest</t>
  </si>
  <si>
    <t>South</t>
  </si>
  <si>
    <t>West</t>
  </si>
  <si>
    <t>Mean income before taxes</t>
  </si>
  <si>
    <t>48,514</t>
  </si>
  <si>
    <t>102,494</t>
  </si>
  <si>
    <t>128,285</t>
  </si>
  <si>
    <t>141,121</t>
  </si>
  <si>
    <t>121,571</t>
  </si>
  <si>
    <t>75,460</t>
  </si>
  <si>
    <t>56,028</t>
  </si>
  <si>
    <t>115,770</t>
  </si>
  <si>
    <t>97,104</t>
  </si>
  <si>
    <t>93,814</t>
  </si>
  <si>
    <t>120,365</t>
  </si>
  <si>
    <t>Percent male</t>
  </si>
  <si>
    <t>Percent female</t>
  </si>
  <si>
    <t>Percent homeowner</t>
  </si>
  <si>
    <t>Percent (of total) with mortgage</t>
  </si>
  <si>
    <t>Percent with at least one vehicle owned or leased</t>
  </si>
  <si>
    <t>Expenditures (mean annual)</t>
  </si>
  <si>
    <t>All expenditures</t>
  </si>
  <si>
    <t>47,283</t>
  </si>
  <si>
    <t>74,475</t>
  </si>
  <si>
    <t>91,229</t>
  </si>
  <si>
    <t>100,327</t>
  </si>
  <si>
    <t>84,946</t>
  </si>
  <si>
    <t>65,354</t>
  </si>
  <si>
    <t>55,834</t>
  </si>
  <si>
    <t>83,692</t>
  </si>
  <si>
    <t>74,707</t>
  </si>
  <si>
    <t>70,376</t>
  </si>
  <si>
    <t>92,625</t>
  </si>
  <si>
    <t>Food</t>
  </si>
  <si>
    <t>Housing</t>
  </si>
  <si>
    <t>Utilities, fuel, public services</t>
  </si>
  <si>
    <t>Household operations</t>
  </si>
  <si>
    <t>Housekeeping supplies</t>
  </si>
  <si>
    <t>Household furnishings and equipement</t>
  </si>
  <si>
    <t>Apparel and services</t>
  </si>
  <si>
    <t>Transportation</t>
  </si>
  <si>
    <t>Healthcare</t>
  </si>
  <si>
    <t>Entertainment</t>
  </si>
  <si>
    <t>Personal care</t>
  </si>
  <si>
    <t>Education</t>
  </si>
  <si>
    <t>Miscellaneous</t>
  </si>
  <si>
    <t>Personal insurance</t>
  </si>
  <si>
    <r>
      <rPr>
        <b/>
        <sz val="10"/>
        <rFont val="Arial"/>
      </rPr>
      <t xml:space="preserve">Source: </t>
    </r>
    <r>
      <rPr>
        <sz val="10"/>
        <color rgb="FF000000"/>
        <rFont val="Arial"/>
        <scheme val="minor"/>
      </rPr>
      <t xml:space="preserve">Bureau of Labor Statistics </t>
    </r>
    <r>
      <rPr>
        <u/>
        <sz val="10"/>
        <color rgb="FF1155CC"/>
        <rFont val="Arial"/>
      </rPr>
      <t>2024 Consumer Expenditure Survey</t>
    </r>
    <r>
      <rPr>
        <sz val="10"/>
        <color rgb="FF000000"/>
        <rFont val="Arial"/>
        <scheme val="minor"/>
      </rPr>
      <t>; more granular data broken down by different demographics available at the same site.
¹ "Reference person" is defined as the primary person owning or renting the housing unit.</t>
    </r>
  </si>
  <si>
    <r>
      <rPr>
        <b/>
        <sz val="14"/>
        <color theme="1"/>
        <rFont val="Arial"/>
      </rPr>
      <t>Weekly Expenditures (in GBP)</t>
    </r>
    <r>
      <rPr>
        <sz val="10"/>
        <color theme="1"/>
        <rFont val="Arial"/>
      </rPr>
      <t xml:space="preserve">
Average weekly expenditures (in GBP) broken down by age of household reference person¹, household income and country of residence</t>
    </r>
  </si>
  <si>
    <r>
      <rPr>
        <b/>
        <sz val="12"/>
        <color theme="1"/>
        <rFont val="Arial"/>
      </rPr>
      <t>By age and income quintile of household reference person</t>
    </r>
    <r>
      <rPr>
        <sz val="12"/>
        <color theme="1"/>
        <rFont val="Arial"/>
      </rPr>
      <t>¹</t>
    </r>
  </si>
  <si>
    <t>Weekly income by quintile, across all age groups</t>
  </si>
  <si>
    <r>
      <rPr>
        <b/>
        <sz val="10"/>
        <color theme="1"/>
        <rFont val="Arial"/>
      </rPr>
      <t>Household reference person</t>
    </r>
    <r>
      <rPr>
        <sz val="10"/>
        <color theme="1"/>
        <rFont val="Arial"/>
      </rPr>
      <t>¹</t>
    </r>
    <r>
      <rPr>
        <b/>
        <sz val="10"/>
        <color theme="1"/>
        <rFont val="Arial"/>
      </rPr>
      <t xml:space="preserve"> Age &lt; 30</t>
    </r>
  </si>
  <si>
    <t>Household income quintile</t>
  </si>
  <si>
    <t>Lowest 20%</t>
  </si>
  <si>
    <t>Second 20%</t>
  </si>
  <si>
    <t>Third 20%</t>
  </si>
  <si>
    <t>Fourth 20%</t>
  </si>
  <si>
    <t>Highest 20%</t>
  </si>
  <si>
    <t>All</t>
  </si>
  <si>
    <t>Mean household income per week (£)</t>
  </si>
  <si>
    <t>Average number of persons per household</t>
  </si>
  <si>
    <r>
      <rPr>
        <b/>
        <sz val="10"/>
        <rFont val="Arial"/>
      </rPr>
      <t>Source</t>
    </r>
    <r>
      <rPr>
        <sz val="10"/>
        <color rgb="FF000000"/>
        <rFont val="Arial"/>
        <scheme val="minor"/>
      </rPr>
      <t xml:space="preserve">: Office of National Statistics, </t>
    </r>
    <r>
      <rPr>
        <u/>
        <sz val="10"/>
        <color rgb="FF1155CC"/>
        <rFont val="Arial"/>
      </rPr>
      <t>2024 U.K. Family Spending Survey</t>
    </r>
    <r>
      <rPr>
        <sz val="10"/>
        <color rgb="FF000000"/>
        <rFont val="Arial"/>
        <scheme val="minor"/>
      </rPr>
      <t>.</t>
    </r>
  </si>
  <si>
    <t>Commodity or service</t>
  </si>
  <si>
    <t>Average weekly household expenditure (£)</t>
  </si>
  <si>
    <t>Food &amp; non-alcoholic drinks</t>
  </si>
  <si>
    <t>Alcoholic drinks, tobacco &amp; narcotics</t>
  </si>
  <si>
    <t>Region</t>
  </si>
  <si>
    <t xml:space="preserve">England </t>
  </si>
  <si>
    <t>Wales</t>
  </si>
  <si>
    <t>Scotland</t>
  </si>
  <si>
    <t>Northern Ireland</t>
  </si>
  <si>
    <t>All UK</t>
  </si>
  <si>
    <t>Clothing &amp; footwear</t>
  </si>
  <si>
    <t>Housing(net)², fuel &amp; power</t>
  </si>
  <si>
    <t>Household goods &amp; services</t>
  </si>
  <si>
    <t>Health</t>
  </si>
  <si>
    <t>..</t>
  </si>
  <si>
    <t>Transport</t>
  </si>
  <si>
    <t>Communication</t>
  </si>
  <si>
    <t>Housing(net)¹, fuel &amp; power</t>
  </si>
  <si>
    <t>Recreation &amp; culture</t>
  </si>
  <si>
    <t>Restaurants &amp; hotels</t>
  </si>
  <si>
    <t>Miscellaneous goods &amp; services</t>
  </si>
  <si>
    <t>Other expenditure items</t>
  </si>
  <si>
    <r>
      <rPr>
        <b/>
        <sz val="10"/>
        <color theme="1"/>
        <rFont val="Arial"/>
      </rPr>
      <t>Household reference person</t>
    </r>
    <r>
      <rPr>
        <sz val="10"/>
        <color theme="1"/>
        <rFont val="Arial"/>
      </rPr>
      <t>¹</t>
    </r>
    <r>
      <rPr>
        <b/>
        <sz val="10"/>
        <color theme="1"/>
        <rFont val="Arial"/>
      </rPr>
      <t xml:space="preserve"> Age 30-49</t>
    </r>
  </si>
  <si>
    <r>
      <rPr>
        <b/>
        <sz val="10"/>
        <rFont val="Arial"/>
      </rPr>
      <t>Source</t>
    </r>
    <r>
      <rPr>
        <sz val="10"/>
        <color rgb="FF000000"/>
        <rFont val="Arial"/>
        <scheme val="minor"/>
      </rPr>
      <t xml:space="preserve">: Office of National Statistics, </t>
    </r>
    <r>
      <rPr>
        <u/>
        <sz val="10"/>
        <color rgb="FF1155CC"/>
        <rFont val="Arial"/>
      </rPr>
      <t>2024 U.K. Family Spending Survey</t>
    </r>
    <r>
      <rPr>
        <sz val="10"/>
        <color rgb="FF000000"/>
        <rFont val="Arial"/>
        <scheme val="minor"/>
      </rPr>
      <t xml:space="preserve">.
¹ Housing costs does not excludes mortgage interest and council tax </t>
    </r>
  </si>
  <si>
    <r>
      <rPr>
        <b/>
        <sz val="10"/>
        <color theme="1"/>
        <rFont val="Arial"/>
      </rPr>
      <t>Household reference person</t>
    </r>
    <r>
      <rPr>
        <sz val="10"/>
        <color theme="1"/>
        <rFont val="Arial"/>
      </rPr>
      <t>¹</t>
    </r>
    <r>
      <rPr>
        <b/>
        <sz val="10"/>
        <color theme="1"/>
        <rFont val="Arial"/>
      </rPr>
      <t xml:space="preserve"> Age 50-64</t>
    </r>
  </si>
  <si>
    <r>
      <rPr>
        <b/>
        <sz val="10"/>
        <color theme="1"/>
        <rFont val="Arial"/>
      </rPr>
      <t>Household reference person</t>
    </r>
    <r>
      <rPr>
        <sz val="10"/>
        <color theme="1"/>
        <rFont val="Arial"/>
      </rPr>
      <t>¹</t>
    </r>
    <r>
      <rPr>
        <b/>
        <sz val="10"/>
        <color theme="1"/>
        <rFont val="Arial"/>
      </rPr>
      <t xml:space="preserve"> Age 65-74</t>
    </r>
  </si>
  <si>
    <r>
      <rPr>
        <b/>
        <sz val="10"/>
        <color theme="1"/>
        <rFont val="Arial"/>
      </rPr>
      <t>Household reference person</t>
    </r>
    <r>
      <rPr>
        <sz val="10"/>
        <color theme="1"/>
        <rFont val="Arial"/>
      </rPr>
      <t>¹</t>
    </r>
    <r>
      <rPr>
        <b/>
        <sz val="10"/>
        <color theme="1"/>
        <rFont val="Arial"/>
      </rPr>
      <t xml:space="preserve"> Age &gt; 74</t>
    </r>
  </si>
  <si>
    <r>
      <rPr>
        <b/>
        <sz val="10"/>
        <rFont val="Arial"/>
      </rPr>
      <t>Source</t>
    </r>
    <r>
      <rPr>
        <sz val="10"/>
        <color rgb="FF000000"/>
        <rFont val="Arial"/>
        <scheme val="minor"/>
      </rPr>
      <t xml:space="preserve">: Office of National Statistics, </t>
    </r>
    <r>
      <rPr>
        <u/>
        <sz val="10"/>
        <color rgb="FF1155CC"/>
        <rFont val="Arial"/>
      </rPr>
      <t>2024 U.K. Family Spending Survey</t>
    </r>
    <r>
      <rPr>
        <sz val="10"/>
        <color rgb="FF000000"/>
        <rFont val="Arial"/>
        <scheme val="minor"/>
      </rPr>
      <t xml:space="preserve">.
¹ </t>
    </r>
    <r>
      <rPr>
        <i/>
        <sz val="10"/>
        <rFont val="Arial"/>
      </rPr>
      <t>Household reference person</t>
    </r>
    <r>
      <rPr>
        <sz val="10"/>
        <color rgb="FF000000"/>
        <rFont val="Arial"/>
        <scheme val="minor"/>
      </rPr>
      <t xml:space="preserve"> is defined as the person who owns the home, or who the home is rented to.
² Housing costs does not excludes mortgage interest and council tax </t>
    </r>
  </si>
  <si>
    <r>
      <rPr>
        <b/>
        <sz val="14"/>
        <color theme="1"/>
        <rFont val="Arial"/>
      </rPr>
      <t>Gross Gaming Revenue</t>
    </r>
    <r>
      <rPr>
        <sz val="14"/>
        <color theme="1"/>
        <rFont val="Arial"/>
      </rPr>
      <t>¹</t>
    </r>
    <r>
      <rPr>
        <b/>
        <sz val="14"/>
        <color theme="1"/>
        <rFont val="Arial"/>
      </rPr>
      <t>, U.S. (in millions, USD)</t>
    </r>
    <r>
      <rPr>
        <sz val="14"/>
        <color theme="1"/>
        <rFont val="Arial"/>
      </rPr>
      <t>²</t>
    </r>
  </si>
  <si>
    <t>Year</t>
  </si>
  <si>
    <t>All gambling</t>
  </si>
  <si>
    <t>Percent online</t>
  </si>
  <si>
    <t>Traditional casino</t>
  </si>
  <si>
    <t>Online casino</t>
  </si>
  <si>
    <t>Sports betting (including online)</t>
  </si>
  <si>
    <t>2025³</t>
  </si>
  <si>
    <t>--</t>
  </si>
  <si>
    <r>
      <rPr>
        <b/>
        <sz val="10"/>
        <color rgb="FF000000"/>
        <rFont val="Arial"/>
      </rPr>
      <t xml:space="preserve">Source: </t>
    </r>
    <r>
      <rPr>
        <sz val="10"/>
        <color rgb="FF000000"/>
        <rFont val="Arial"/>
        <scheme val="minor"/>
      </rPr>
      <t xml:space="preserve">U.S. Gambling Association Commercial Gaming Revenue Tracker: </t>
    </r>
    <r>
      <rPr>
        <u/>
        <sz val="10"/>
        <color rgb="FF1155CC"/>
        <rFont val="Arial"/>
      </rPr>
      <t>before 2024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2024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2025</t>
    </r>
    <r>
      <rPr>
        <sz val="10"/>
        <color rgb="FF000000"/>
        <rFont val="Arial"/>
        <scheme val="minor"/>
      </rPr>
      <t xml:space="preserve">.
¹ </t>
    </r>
    <r>
      <rPr>
        <i/>
        <sz val="10"/>
        <color rgb="FF000000"/>
        <rFont val="Arial"/>
      </rPr>
      <t>Gross gaming revenue</t>
    </r>
    <r>
      <rPr>
        <sz val="10"/>
        <color rgb="FF000000"/>
        <rFont val="Arial"/>
        <scheme val="minor"/>
      </rPr>
      <t xml:space="preserve"> is defined as the </t>
    </r>
    <r>
      <rPr>
        <i/>
        <sz val="10"/>
        <color rgb="FF000000"/>
        <rFont val="Arial"/>
      </rPr>
      <t xml:space="preserve">handle </t>
    </r>
    <r>
      <rPr>
        <sz val="10"/>
        <color rgb="FF000000"/>
        <rFont val="Arial"/>
        <scheme val="minor"/>
      </rPr>
      <t xml:space="preserve">(total value of all bets placed) minus the </t>
    </r>
    <r>
      <rPr>
        <i/>
        <sz val="10"/>
        <color rgb="FF000000"/>
        <rFont val="Arial"/>
      </rPr>
      <t>turnover</t>
    </r>
    <r>
      <rPr>
        <sz val="10"/>
        <color rgb="FF000000"/>
        <rFont val="Arial"/>
        <scheme val="minor"/>
      </rPr>
      <t xml:space="preserve"> (total amount of bets returned to winning gamblers); this is the amount of money kept by the casino, online platform, etc.
² Some values estimated from images of plots and are provided with limited precision.
³ 2025 data was available for January - November, so totals were adjusted by a factor of 12/11 to estimate entire calendar year.</t>
    </r>
  </si>
  <si>
    <r>
      <rPr>
        <b/>
        <sz val="14"/>
        <color theme="1"/>
        <rFont val="Arial"/>
      </rPr>
      <t>Gross Gaming Revenue</t>
    </r>
    <r>
      <rPr>
        <sz val="14"/>
        <color theme="1"/>
        <rFont val="Arial"/>
      </rPr>
      <t>¹</t>
    </r>
    <r>
      <rPr>
        <b/>
        <sz val="14"/>
        <color theme="1"/>
        <rFont val="Arial"/>
      </rPr>
      <t>, U.K. (in millions, GBP)</t>
    </r>
    <r>
      <rPr>
        <sz val="14"/>
        <color theme="1"/>
        <rFont val="Arial"/>
      </rPr>
      <t>²</t>
    </r>
  </si>
  <si>
    <t>Reporting period</t>
  </si>
  <si>
    <t>Total excluding National Lottery and lotteries</t>
  </si>
  <si>
    <t>Arcades (non-remote)</t>
  </si>
  <si>
    <r>
      <rPr>
        <b/>
        <sz val="10"/>
        <color theme="1"/>
        <rFont val="Arial"/>
      </rPr>
      <t>Betting</t>
    </r>
    <r>
      <rPr>
        <sz val="10"/>
        <color theme="1"/>
        <rFont val="Arial"/>
      </rPr>
      <t>³</t>
    </r>
    <r>
      <rPr>
        <b/>
        <sz val="10"/>
        <color theme="1"/>
        <rFont val="Arial"/>
      </rPr>
      <t xml:space="preserve"> (non-remote)</t>
    </r>
  </si>
  <si>
    <t>Bingo (non-remote)</t>
  </si>
  <si>
    <t>Casino (non-remote)</t>
  </si>
  <si>
    <r>
      <rPr>
        <b/>
        <sz val="10"/>
        <color theme="1"/>
        <rFont val="Arial"/>
      </rPr>
      <t>Betting</t>
    </r>
    <r>
      <rPr>
        <sz val="10"/>
        <color theme="1"/>
        <rFont val="Arial"/>
      </rPr>
      <t>³</t>
    </r>
    <r>
      <rPr>
        <b/>
        <sz val="10"/>
        <color theme="1"/>
        <rFont val="Arial"/>
      </rPr>
      <t xml:space="preserve"> (remote)</t>
    </r>
  </si>
  <si>
    <t>Bingo (remote)</t>
  </si>
  <si>
    <t>Casino (remote)</t>
  </si>
  <si>
    <t>Lotteries (remote and non-remote)</t>
  </si>
  <si>
    <t>National Lottery (remote and non-remote)</t>
  </si>
  <si>
    <t>Apr 2008 - Mar 2009</t>
  </si>
  <si>
    <t>Apr 2009 - Mar 2010</t>
  </si>
  <si>
    <t>Apr 2010 - Mar 2011</t>
  </si>
  <si>
    <t>Apr 2011 - Mar 2012</t>
  </si>
  <si>
    <t>Apr 2012 - Mar 2013</t>
  </si>
  <si>
    <t>Apr 2013 - Mar 2014</t>
  </si>
  <si>
    <t>Apr 2014 - Mar 2015</t>
  </si>
  <si>
    <t>Apr 2015 - Mar 2016</t>
  </si>
  <si>
    <t>Apr 2016 - Mar 2017</t>
  </si>
  <si>
    <t>Apr 2017 - Mar 2018</t>
  </si>
  <si>
    <t>Apr 2018 - Mar 2019</t>
  </si>
  <si>
    <t>Apr 2019 - Mar 2020</t>
  </si>
  <si>
    <t>Apr 2020 - Mar 2021</t>
  </si>
  <si>
    <t>Apr 2021 - Mar 2022</t>
  </si>
  <si>
    <t>Apr 2022 - Mar 2023</t>
  </si>
  <si>
    <t>Apr 2023 - Mar 2024</t>
  </si>
  <si>
    <t>Apr 2024 - Mar 2025</t>
  </si>
  <si>
    <r>
      <rPr>
        <b/>
        <sz val="10"/>
        <rFont val="Arial"/>
      </rPr>
      <t>Source</t>
    </r>
    <r>
      <rPr>
        <sz val="10"/>
        <rFont val="Arial"/>
      </rPr>
      <t xml:space="preserve">: U.K. Gambling Commission </t>
    </r>
    <r>
      <rPr>
        <u/>
        <sz val="10"/>
        <color rgb="FF1155CC"/>
        <rFont val="Arial"/>
      </rPr>
      <t xml:space="preserve">Annual report - Financial year April 2024 to March 2025
</t>
    </r>
    <r>
      <rPr>
        <b/>
        <sz val="10"/>
        <rFont val="Arial"/>
      </rPr>
      <t xml:space="preserve">¹ </t>
    </r>
    <r>
      <rPr>
        <i/>
        <sz val="10"/>
        <rFont val="Arial"/>
      </rPr>
      <t>Gross gaming revenue</t>
    </r>
    <r>
      <rPr>
        <sz val="10"/>
        <rFont val="Arial"/>
      </rPr>
      <t xml:space="preserve"> is defined as the handle (total value of all bets placed) minus the turnover (total amount of bets returned to winning gamblers); this is the amount of money kept by the casino, online platform, etc.</t>
    </r>
    <r>
      <rPr>
        <b/>
        <sz val="10"/>
        <rFont val="Arial"/>
      </rPr>
      <t xml:space="preserve">
</t>
    </r>
    <r>
      <rPr>
        <sz val="10"/>
        <rFont val="Arial"/>
      </rPr>
      <t>²</t>
    </r>
    <r>
      <rPr>
        <b/>
        <sz val="10"/>
        <rFont val="Arial"/>
      </rPr>
      <t xml:space="preserve"> </t>
    </r>
    <r>
      <rPr>
        <sz val="10"/>
        <rFont val="Arial"/>
      </rPr>
      <t xml:space="preserve">More information on how the data is prepared is available </t>
    </r>
    <r>
      <rPr>
        <u/>
        <sz val="10"/>
        <color rgb="FF1155CC"/>
        <rFont val="Arial"/>
      </rPr>
      <t>here</t>
    </r>
    <r>
      <rPr>
        <sz val="10"/>
        <rFont val="Arial"/>
      </rPr>
      <t>.
³</t>
    </r>
    <r>
      <rPr>
        <b/>
        <sz val="10"/>
        <rFont val="Arial"/>
      </rPr>
      <t xml:space="preserve"> </t>
    </r>
    <r>
      <rPr>
        <i/>
        <sz val="10"/>
        <rFont val="Arial"/>
      </rPr>
      <t>Betting</t>
    </r>
    <r>
      <rPr>
        <sz val="10"/>
        <rFont val="Arial"/>
      </rPr>
      <t xml:space="preserve"> refers to sports gambling, including on horseracing, while </t>
    </r>
    <r>
      <rPr>
        <i/>
        <sz val="10"/>
        <rFont val="Arial"/>
      </rPr>
      <t>remote</t>
    </r>
    <r>
      <rPr>
        <sz val="10"/>
        <rFont val="Arial"/>
      </rPr>
      <t xml:space="preserve"> means the bets were placed either online or over the phone.</t>
    </r>
  </si>
  <si>
    <r>
      <rPr>
        <b/>
        <sz val="14"/>
        <color theme="1"/>
        <rFont val="Arial"/>
      </rPr>
      <t>2025 Survey of Online Gambling Habits</t>
    </r>
    <r>
      <rPr>
        <sz val="14"/>
        <color theme="1"/>
        <rFont val="Arial"/>
      </rPr>
      <t>¹</t>
    </r>
    <r>
      <rPr>
        <b/>
        <sz val="12"/>
        <color theme="1"/>
        <rFont val="Arial"/>
      </rPr>
      <t xml:space="preserve">
</t>
    </r>
    <r>
      <rPr>
        <sz val="10"/>
        <color theme="1"/>
        <rFont val="Arial"/>
      </rPr>
      <t>Results (in percentage of respondents) of a 3,047 person U.S.² survey regarding gambling habits.</t>
    </r>
  </si>
  <si>
    <r>
      <rPr>
        <b/>
        <sz val="14"/>
        <color theme="1"/>
        <rFont val="Arial"/>
      </rPr>
      <t>Frequency of Online Betting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Results of a survey of worldwide residents (unknown number) regarding online bets made by individuals in 2023.</t>
    </r>
  </si>
  <si>
    <t>Total by year</t>
  </si>
  <si>
    <t>Gender</t>
  </si>
  <si>
    <t>Age</t>
  </si>
  <si>
    <t>Eduation</t>
  </si>
  <si>
    <t>U.S.</t>
  </si>
  <si>
    <t>U.K.</t>
  </si>
  <si>
    <t>All markets¹</t>
  </si>
  <si>
    <t>Male</t>
  </si>
  <si>
    <t>Female</t>
  </si>
  <si>
    <t>18-34</t>
  </si>
  <si>
    <t>35-49</t>
  </si>
  <si>
    <t>50-64</t>
  </si>
  <si>
    <t>65+</t>
  </si>
  <si>
    <t>No college</t>
  </si>
  <si>
    <t>B.A. or higher</t>
  </si>
  <si>
    <t>None in the last 6 months</t>
  </si>
  <si>
    <t>Has account with online sportsbook</t>
  </si>
  <si>
    <t>Less than once per month</t>
  </si>
  <si>
    <t>Of those with an account, percentage with at least one sports betting app</t>
  </si>
  <si>
    <t>Once per month</t>
  </si>
  <si>
    <t>Of those with an account, how many different sportsbooks do you have an account with?</t>
  </si>
  <si>
    <t>A few times a month</t>
  </si>
  <si>
    <t>Just one</t>
  </si>
  <si>
    <t>1-2 times per week</t>
  </si>
  <si>
    <t>3-4 times per week</t>
  </si>
  <si>
    <t>5-7 times per week</t>
  </si>
  <si>
    <t>4 or more</t>
  </si>
  <si>
    <t>More than 7 times per week</t>
  </si>
  <si>
    <t>Of those with an account, how often do you investigate possible bets?</t>
  </si>
  <si>
    <r>
      <rPr>
        <b/>
        <sz val="10"/>
        <rFont val="Arial"/>
      </rPr>
      <t>Source</t>
    </r>
    <r>
      <rPr>
        <sz val="10"/>
        <color rgb="FF000000"/>
        <rFont val="Arial"/>
        <scheme val="minor"/>
      </rPr>
      <t xml:space="preserve">: Paysafe Group, with Sapio Research. </t>
    </r>
    <r>
      <rPr>
        <u/>
        <sz val="10"/>
        <color rgb="FF1155CC"/>
        <rFont val="Arial"/>
      </rPr>
      <t xml:space="preserve">Frequency of online bets made by individuals involved or interested in sports betting worldwide as of December 2023, by market.
</t>
    </r>
    <r>
      <rPr>
        <sz val="10"/>
        <color rgb="FF000000"/>
        <rFont val="Arial"/>
        <scheme val="minor"/>
      </rPr>
      <t>¹ Includes residents of all countries included in the survey, including the U.S., U.K., Canada, France, Germany, Italy, etc.</t>
    </r>
  </si>
  <si>
    <t>More than 2 times a day</t>
  </si>
  <si>
    <t>Once or twice each day</t>
  </si>
  <si>
    <r>
      <rPr>
        <b/>
        <sz val="14"/>
        <color theme="1"/>
        <rFont val="Arial"/>
      </rPr>
      <t xml:space="preserve">U.S. gamblers' monthly wagers
</t>
    </r>
    <r>
      <rPr>
        <sz val="10"/>
        <color theme="1"/>
        <rFont val="Arial"/>
      </rPr>
      <t>Results (in percentage of respondents) of a survey</t>
    </r>
    <r>
      <rPr>
        <b/>
        <sz val="10"/>
        <color theme="1"/>
        <rFont val="Arial"/>
      </rPr>
      <t>¹</t>
    </r>
    <r>
      <rPr>
        <sz val="10"/>
        <color theme="1"/>
        <rFont val="Arial"/>
      </rPr>
      <t xml:space="preserve"> of amount spent on sports gambling (both on- and offline) per month by sport.</t>
    </r>
  </si>
  <si>
    <t>A couple of times a week</t>
  </si>
  <si>
    <t>$1-$100</t>
  </si>
  <si>
    <t>$101-$500</t>
  </si>
  <si>
    <t>$500+</t>
  </si>
  <si>
    <t>Once in a while</t>
  </si>
  <si>
    <t>Football</t>
  </si>
  <si>
    <t>Never</t>
  </si>
  <si>
    <t>Basketball</t>
  </si>
  <si>
    <t>Of those with an account, percent that have  placed a bet on a sporting event through an online sportsbook?</t>
  </si>
  <si>
    <t>Soccer</t>
  </si>
  <si>
    <t>Of those with an account AND have placed a bet, would you say you win more than you lost or lost more than you win or break even?</t>
  </si>
  <si>
    <t>Baseball</t>
  </si>
  <si>
    <t>Win more than lose</t>
  </si>
  <si>
    <t>Horse racing</t>
  </si>
  <si>
    <t>Lose more than win</t>
  </si>
  <si>
    <r>
      <rPr>
        <b/>
        <sz val="10"/>
        <rFont val="Arial"/>
      </rPr>
      <t xml:space="preserve">Source: </t>
    </r>
    <r>
      <rPr>
        <sz val="10"/>
        <rFont val="Arial"/>
      </rPr>
      <t xml:space="preserve">YouGov, </t>
    </r>
    <r>
      <rPr>
        <u/>
        <sz val="10"/>
        <color rgb="FF1155CC"/>
        <rFont val="Arial"/>
      </rPr>
      <t xml:space="preserve">How Much do U.S. Sports Bettors Stake Each Month?
</t>
    </r>
    <r>
      <rPr>
        <sz val="10"/>
        <rFont val="Arial"/>
      </rPr>
      <t>¹ Survey sample size is unknown</t>
    </r>
  </si>
  <si>
    <t>Usually break even</t>
  </si>
  <si>
    <t>Of those with an account AND have placed a bet, what is the largest amount of money you have ever won in a day using an online sportsbook?</t>
  </si>
  <si>
    <r>
      <rPr>
        <b/>
        <sz val="14"/>
        <color theme="1"/>
        <rFont val="Arial"/>
      </rPr>
      <t>Participation in online gambling, by type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Results (in percentage of respondents replying "yes") of an 801 person U.S. survey to participating in the listed activity</t>
    </r>
  </si>
  <si>
    <t>$50 or less</t>
  </si>
  <si>
    <t>Online gambling type</t>
  </si>
  <si>
    <t>$50-$99.99</t>
  </si>
  <si>
    <t>Sports betting</t>
  </si>
  <si>
    <t>$100-$199.99</t>
  </si>
  <si>
    <t>Casino games</t>
  </si>
  <si>
    <t>$200-$499.99</t>
  </si>
  <si>
    <t>Slot machines</t>
  </si>
  <si>
    <t>$500-$999.99</t>
  </si>
  <si>
    <t>Education breakdown of respondents</t>
  </si>
  <si>
    <t>$1000 or more</t>
  </si>
  <si>
    <t>No college degree</t>
  </si>
  <si>
    <t>Of those with an account AND who have placed a bet, I think I can make money by placing bets</t>
  </si>
  <si>
    <t>Of those with an account AND have placed a bet, how often do you depost money into your online sportsbook account?</t>
  </si>
  <si>
    <r>
      <rPr>
        <b/>
        <sz val="10"/>
        <rFont val="Arial"/>
      </rPr>
      <t>Source</t>
    </r>
    <r>
      <rPr>
        <sz val="10"/>
        <color rgb="FF000000"/>
        <rFont val="Arial"/>
        <scheme val="minor"/>
      </rPr>
      <t xml:space="preserve">: Farleigh Dickinson University, </t>
    </r>
    <r>
      <rPr>
        <u/>
        <sz val="10"/>
        <color rgb="FF1155CC"/>
        <rFont val="Arial"/>
      </rPr>
      <t>FDU Poll finds Online Betting Leads to Problems for Young Men</t>
    </r>
  </si>
  <si>
    <t>When I started and have never deposited again</t>
  </si>
  <si>
    <t>Monthly</t>
  </si>
  <si>
    <t>Weekly or more often</t>
  </si>
  <si>
    <t>Of those with an account AND who have placed a bet, how often do you withdraw winnings from your account?</t>
  </si>
  <si>
    <t>If I win $500 or more I take the money out</t>
  </si>
  <si>
    <t>If I win $100 or more I take the monty out</t>
  </si>
  <si>
    <t>I leave my winnings in the account in order to make more bets</t>
  </si>
  <si>
    <t>I've never withdrawn money from my account</t>
  </si>
  <si>
    <t>Of those with an account AND have placed a bet, percent that have "chased" a bet (that is, bet an increased amount in hopes of getting money back from a previous bet where money was lost).</t>
  </si>
  <si>
    <t>Of those with an account AND have placed a bet, percent that have bet a total of $100 or more in one day using an online sportsbook.</t>
  </si>
  <si>
    <t>Of those with an account AND have placed a bet, percent that have bet a total of $500 or more in one day using an online sportsbook.</t>
  </si>
  <si>
    <r>
      <rPr>
        <b/>
        <sz val="10"/>
        <color theme="1"/>
        <rFont val="Arial"/>
      </rPr>
      <t xml:space="preserve">Source: </t>
    </r>
    <r>
      <rPr>
        <sz val="10"/>
        <color theme="1"/>
        <rFont val="Arial"/>
      </rPr>
      <t xml:space="preserve">Siena College, &amp; St. Bonaventure University. (2025). American Sports Fanship Survey. Siena College Research Institute.
</t>
    </r>
    <r>
      <rPr>
        <b/>
        <sz val="10"/>
        <color theme="1"/>
        <rFont val="Arial"/>
      </rPr>
      <t xml:space="preserve">¹ </t>
    </r>
    <r>
      <rPr>
        <sz val="10"/>
        <color theme="1"/>
        <rFont val="Arial"/>
      </rPr>
      <t xml:space="preserve">Due to rounding and the option of "choose not to answer," not all categories sum to 100%.
² Equivalent U.K. data is unavailable; you may assume similar trends for U.K. residents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</si>
</sst>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9"/>
      <color theme="1"/>
      <name val="Arial"/>
      <scheme val="minor"/>
    </font>
    <font>
      <b/>
      <sz val="9"/>
      <color theme="1"/>
      <name val="Arial"/>
      <scheme val="minor"/>
    </font>
    <font>
      <u/>
      <sz val="10"/>
      <color rgb="FF0000FF"/>
      <name val="Arial"/>
    </font>
    <font>
      <sz val="10"/>
      <name val="Arial"/>
    </font>
    <font>
      <i/>
      <sz val="10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sz val="16"/>
      <color theme="1"/>
      <name val="Arial"/>
      <scheme val="minor"/>
    </font>
    <font>
      <sz val="10"/>
      <color rgb="FF000000"/>
      <name val="Arial"/>
      <scheme val="minor"/>
    </font>
    <font>
      <b/>
      <u/>
      <sz val="10"/>
      <color rgb="FF0000FF"/>
      <name val="Arial"/>
    </font>
    <font>
      <sz val="11"/>
      <color rgb="FF000000"/>
      <name val="&quot;Open Sans&quot;"/>
    </font>
    <font>
      <b/>
      <sz val="10"/>
      <color rgb="FF000000"/>
      <name val="Arial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0"/>
      <name val="Arial"/>
    </font>
    <font>
      <u/>
      <sz val="10"/>
      <color rgb="FF1155CC"/>
      <name val="Arial"/>
    </font>
    <font>
      <i/>
      <sz val="10"/>
      <name val="Arial"/>
    </font>
    <font>
      <sz val="14"/>
      <color theme="1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AFAFA"/>
        <bgColor rgb="FFFAFAFA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3" fillId="5" borderId="1" xfId="0" applyFont="1" applyFill="1" applyBorder="1"/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5" borderId="2" xfId="0" applyFont="1" applyFill="1" applyBorder="1"/>
    <xf numFmtId="0" fontId="3" fillId="5" borderId="3" xfId="0" applyFont="1" applyFill="1" applyBorder="1"/>
    <xf numFmtId="0" fontId="4" fillId="0" borderId="4" xfId="0" applyFont="1" applyBorder="1"/>
    <xf numFmtId="49" fontId="4" fillId="0" borderId="0" xfId="0" applyNumberFormat="1" applyFont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6" xfId="0" applyFont="1" applyBorder="1"/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5" borderId="2" xfId="0" applyFont="1" applyFill="1" applyBorder="1"/>
    <xf numFmtId="0" fontId="5" fillId="5" borderId="3" xfId="0" applyFont="1" applyFill="1" applyBorder="1"/>
    <xf numFmtId="0" fontId="5" fillId="5" borderId="4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5" fillId="5" borderId="5" xfId="0" applyFont="1" applyFill="1" applyBorder="1" applyAlignment="1">
      <alignment horizontal="left"/>
    </xf>
    <xf numFmtId="3" fontId="4" fillId="0" borderId="0" xfId="0" applyNumberFormat="1" applyFont="1" applyAlignment="1">
      <alignment horizontal="left"/>
    </xf>
    <xf numFmtId="3" fontId="4" fillId="0" borderId="5" xfId="0" applyNumberFormat="1" applyFont="1" applyBorder="1" applyAlignment="1">
      <alignment horizontal="left"/>
    </xf>
    <xf numFmtId="3" fontId="4" fillId="0" borderId="4" xfId="0" applyNumberFormat="1" applyFont="1" applyBorder="1" applyAlignment="1">
      <alignment horizontal="left"/>
    </xf>
    <xf numFmtId="3" fontId="4" fillId="0" borderId="7" xfId="0" applyNumberFormat="1" applyFont="1" applyBorder="1" applyAlignment="1">
      <alignment horizontal="left"/>
    </xf>
    <xf numFmtId="3" fontId="4" fillId="0" borderId="8" xfId="0" applyNumberFormat="1" applyFont="1" applyBorder="1" applyAlignment="1">
      <alignment horizontal="left"/>
    </xf>
    <xf numFmtId="3" fontId="4" fillId="0" borderId="6" xfId="0" applyNumberFormat="1" applyFont="1" applyBorder="1" applyAlignment="1">
      <alignment horizontal="left"/>
    </xf>
    <xf numFmtId="0" fontId="8" fillId="0" borderId="0" xfId="0" applyFont="1"/>
    <xf numFmtId="0" fontId="9" fillId="7" borderId="0" xfId="0" applyFont="1" applyFill="1"/>
    <xf numFmtId="0" fontId="1" fillId="5" borderId="4" xfId="0" applyFont="1" applyFill="1" applyBorder="1" applyAlignment="1">
      <alignment horizontal="left"/>
    </xf>
    <xf numFmtId="0" fontId="9" fillId="0" borderId="6" xfId="0" applyFont="1" applyBorder="1" applyAlignment="1">
      <alignment horizontal="left" wrapText="1"/>
    </xf>
    <xf numFmtId="0" fontId="9" fillId="0" borderId="7" xfId="0" applyFont="1" applyBorder="1" applyAlignment="1">
      <alignment horizontal="left"/>
    </xf>
    <xf numFmtId="3" fontId="9" fillId="0" borderId="7" xfId="0" applyNumberFormat="1" applyFont="1" applyBorder="1" applyAlignment="1">
      <alignment horizontal="left"/>
    </xf>
    <xf numFmtId="3" fontId="9" fillId="0" borderId="8" xfId="0" applyNumberFormat="1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1" fillId="5" borderId="4" xfId="0" applyFont="1" applyFill="1" applyBorder="1" applyAlignment="1">
      <alignment horizontal="left" wrapText="1"/>
    </xf>
    <xf numFmtId="0" fontId="1" fillId="5" borderId="0" xfId="0" applyFont="1" applyFill="1" applyAlignment="1">
      <alignment horizontal="left"/>
    </xf>
    <xf numFmtId="0" fontId="9" fillId="5" borderId="0" xfId="0" applyFont="1" applyFill="1" applyAlignment="1">
      <alignment horizontal="left"/>
    </xf>
    <xf numFmtId="0" fontId="9" fillId="5" borderId="5" xfId="0" applyFont="1" applyFill="1" applyBorder="1" applyAlignment="1">
      <alignment horizontal="left"/>
    </xf>
    <xf numFmtId="0" fontId="1" fillId="5" borderId="0" xfId="0" applyFont="1" applyFill="1" applyAlignment="1">
      <alignment horizontal="left" wrapText="1"/>
    </xf>
    <xf numFmtId="0" fontId="1" fillId="5" borderId="5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horizontal="left"/>
    </xf>
    <xf numFmtId="0" fontId="4" fillId="0" borderId="6" xfId="0" applyFont="1" applyBorder="1" applyAlignment="1">
      <alignment horizontal="left" wrapText="1"/>
    </xf>
    <xf numFmtId="0" fontId="9" fillId="0" borderId="0" xfId="0" applyFont="1"/>
    <xf numFmtId="0" fontId="9" fillId="0" borderId="5" xfId="0" applyFont="1" applyBorder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/>
    <xf numFmtId="0" fontId="1" fillId="5" borderId="9" xfId="0" applyFont="1" applyFill="1" applyBorder="1"/>
    <xf numFmtId="0" fontId="1" fillId="5" borderId="10" xfId="0" applyFont="1" applyFill="1" applyBorder="1" applyAlignment="1">
      <alignment horizontal="left"/>
    </xf>
    <xf numFmtId="0" fontId="1" fillId="5" borderId="11" xfId="0" applyFont="1" applyFill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2" fillId="0" borderId="0" xfId="0" applyFont="1"/>
    <xf numFmtId="0" fontId="1" fillId="8" borderId="6" xfId="0" applyFont="1" applyFill="1" applyBorder="1"/>
    <xf numFmtId="0" fontId="1" fillId="8" borderId="7" xfId="0" applyFont="1" applyFill="1" applyBorder="1" applyAlignment="1">
      <alignment horizontal="left"/>
    </xf>
    <xf numFmtId="0" fontId="1" fillId="8" borderId="7" xfId="0" applyFont="1" applyFill="1" applyBorder="1" applyAlignment="1">
      <alignment horizontal="left" wrapText="1"/>
    </xf>
    <xf numFmtId="0" fontId="1" fillId="8" borderId="8" xfId="0" applyFont="1" applyFill="1" applyBorder="1" applyAlignment="1">
      <alignment horizontal="left" wrapText="1"/>
    </xf>
    <xf numFmtId="0" fontId="9" fillId="0" borderId="0" xfId="0" applyFont="1" applyAlignment="1">
      <alignment wrapText="1"/>
    </xf>
    <xf numFmtId="0" fontId="12" fillId="0" borderId="4" xfId="0" applyFont="1" applyBorder="1"/>
    <xf numFmtId="0" fontId="14" fillId="9" borderId="0" xfId="0" applyFont="1" applyFill="1" applyAlignment="1">
      <alignment horizontal="left"/>
    </xf>
    <xf numFmtId="0" fontId="9" fillId="0" borderId="4" xfId="0" applyFont="1" applyBorder="1"/>
    <xf numFmtId="0" fontId="8" fillId="0" borderId="7" xfId="0" applyFont="1" applyBorder="1" applyAlignment="1">
      <alignment wrapText="1"/>
    </xf>
    <xf numFmtId="0" fontId="9" fillId="0" borderId="8" xfId="0" applyFont="1" applyBorder="1" applyAlignment="1">
      <alignment horizontal="left"/>
    </xf>
    <xf numFmtId="0" fontId="8" fillId="0" borderId="0" xfId="0" applyFont="1" applyAlignment="1">
      <alignment wrapText="1"/>
    </xf>
    <xf numFmtId="0" fontId="9" fillId="0" borderId="5" xfId="0" applyFont="1" applyBorder="1" applyAlignment="1">
      <alignment horizontal="left"/>
    </xf>
    <xf numFmtId="0" fontId="9" fillId="0" borderId="0" xfId="0" applyFont="1" applyAlignment="1">
      <alignment horizontal="right" wrapText="1"/>
    </xf>
    <xf numFmtId="0" fontId="9" fillId="0" borderId="7" xfId="0" applyFont="1" applyBorder="1" applyAlignment="1">
      <alignment horizontal="right" wrapText="1"/>
    </xf>
    <xf numFmtId="0" fontId="9" fillId="0" borderId="6" xfId="0" applyFont="1" applyBorder="1"/>
    <xf numFmtId="0" fontId="1" fillId="0" borderId="5" xfId="0" applyFont="1" applyBorder="1"/>
    <xf numFmtId="0" fontId="8" fillId="0" borderId="4" xfId="0" applyFont="1" applyBorder="1"/>
    <xf numFmtId="0" fontId="9" fillId="0" borderId="4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8" fillId="0" borderId="4" xfId="0" applyFont="1" applyBorder="1" applyAlignment="1">
      <alignment wrapText="1"/>
    </xf>
    <xf numFmtId="0" fontId="8" fillId="0" borderId="0" xfId="0" applyFont="1" applyAlignment="1">
      <alignment horizontal="left" wrapText="1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wrapText="1"/>
    </xf>
    <xf numFmtId="0" fontId="1" fillId="5" borderId="5" xfId="0" applyFont="1" applyFill="1" applyBorder="1" applyAlignment="1">
      <alignment wrapTex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wrapText="1"/>
    </xf>
    <xf numFmtId="0" fontId="10" fillId="3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/>
    </xf>
    <xf numFmtId="0" fontId="12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6" fillId="6" borderId="6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6" fillId="3" borderId="6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3" fillId="4" borderId="6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 wrapText="1"/>
    </xf>
    <xf numFmtId="0" fontId="0" fillId="0" borderId="0" xfId="0" applyAlignment="1"/>
    <xf numFmtId="0" fontId="6" fillId="2" borderId="9" xfId="0" applyFont="1" applyFill="1" applyBorder="1" applyAlignment="1"/>
    <xf numFmtId="0" fontId="7" fillId="0" borderId="10" xfId="0" applyFont="1" applyBorder="1" applyAlignment="1"/>
    <xf numFmtId="0" fontId="7" fillId="0" borderId="11" xfId="0" applyFont="1" applyBorder="1" applyAlignment="1"/>
    <xf numFmtId="0" fontId="7" fillId="0" borderId="2" xfId="0" applyFont="1" applyBorder="1" applyAlignment="1"/>
    <xf numFmtId="0" fontId="7" fillId="0" borderId="3" xfId="0" applyFont="1" applyBorder="1" applyAlignment="1"/>
    <xf numFmtId="0" fontId="7" fillId="0" borderId="5" xfId="0" applyFont="1" applyBorder="1" applyAlignment="1"/>
    <xf numFmtId="0" fontId="7" fillId="0" borderId="7" xfId="0" applyFont="1" applyBorder="1" applyAlignment="1"/>
    <xf numFmtId="0" fontId="7" fillId="0" borderId="8" xfId="0" applyFont="1" applyBorder="1" applyAlignment="1"/>
    <xf numFmtId="0" fontId="13" fillId="3" borderId="9" xfId="0" applyFont="1" applyFill="1" applyBorder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s.gov/cex/tables/calendar-year/mean-item-share-average-standard-error.ht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peoplepopulationandcommunity/personalandhouseholdfinances/expenditure/bulletins/familyspendingintheuk/april2023tomarch2024/relateddata" TargetMode="External"/><Relationship Id="rId2" Type="http://schemas.openxmlformats.org/officeDocument/2006/relationships/hyperlink" Target="https://www.ons.gov.uk/peoplepopulationandcommunity/personalandhouseholdfinances/expenditure/bulletins/familyspendingintheuk/april2023tomarch2024/relateddata" TargetMode="External"/><Relationship Id="rId1" Type="http://schemas.openxmlformats.org/officeDocument/2006/relationships/hyperlink" Target="https://www.ons.gov.uk/peoplepopulationandcommunity/personalandhouseholdfinances/expenditure/bulletins/familyspendingintheuk/april2023tomarch2024/relateddat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amblingcommission.gov.uk/statistics-and-research/publication/industry-statistics-annual-report-financial-year-april-2024-to-march-2025" TargetMode="External"/><Relationship Id="rId1" Type="http://schemas.openxmlformats.org/officeDocument/2006/relationships/hyperlink" Target="https://www.americangaming.org/wp-content/uploads/2024/01/CY-2024_CGRT_v2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du.edu/news/fdu-poll-finds-online-betting-leads-to-problems-for-young-men/" TargetMode="External"/><Relationship Id="rId2" Type="http://schemas.openxmlformats.org/officeDocument/2006/relationships/hyperlink" Target="https://yougov.com/en-us/articles/50940-how-much-do-us-sports-bettors-stake-each-month" TargetMode="External"/><Relationship Id="rId1" Type="http://schemas.openxmlformats.org/officeDocument/2006/relationships/hyperlink" Target="https://www.statista.com/statistics/1459558/online-sports-betting-frequen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8"/>
  <sheetViews>
    <sheetView tabSelected="1" topLeftCell="A6" workbookViewId="0">
      <selection activeCell="L17" sqref="L17"/>
    </sheetView>
  </sheetViews>
  <sheetFormatPr defaultColWidth="12.7109375" defaultRowHeight="15.75" customHeight="1"/>
  <cols>
    <col min="1" max="1" width="35.7109375" customWidth="1"/>
    <col min="2" max="2" width="10.42578125" customWidth="1"/>
    <col min="3" max="3" width="9.28515625" customWidth="1"/>
    <col min="4" max="4" width="9.140625" customWidth="1"/>
    <col min="5" max="6" width="9" customWidth="1"/>
    <col min="7" max="7" width="7.42578125" customWidth="1"/>
    <col min="9" max="9" width="11" customWidth="1"/>
    <col min="10" max="10" width="10.7109375" customWidth="1"/>
    <col min="11" max="11" width="9.42578125" customWidth="1"/>
  </cols>
  <sheetData>
    <row r="1" spans="1:24" ht="15.75" customHeight="1">
      <c r="A1" s="85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24">
      <c r="A2" s="86" t="s">
        <v>1</v>
      </c>
      <c r="B2" s="109"/>
      <c r="C2" s="109"/>
      <c r="D2" s="109"/>
      <c r="E2" s="109"/>
      <c r="F2" s="109"/>
      <c r="G2" s="109"/>
      <c r="H2" s="109"/>
      <c r="I2" s="87" t="s">
        <v>2</v>
      </c>
      <c r="J2" s="109"/>
      <c r="K2" s="109"/>
      <c r="L2" s="10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4" t="s">
        <v>10</v>
      </c>
      <c r="I3" s="2" t="s">
        <v>11</v>
      </c>
      <c r="J3" s="5" t="s">
        <v>12</v>
      </c>
      <c r="K3" s="5" t="s">
        <v>13</v>
      </c>
      <c r="L3" s="6" t="s">
        <v>14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>
      <c r="A4" s="7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9" t="s">
        <v>22</v>
      </c>
      <c r="I4" s="10" t="s">
        <v>23</v>
      </c>
      <c r="J4" s="8" t="s">
        <v>24</v>
      </c>
      <c r="K4" s="8" t="s">
        <v>25</v>
      </c>
      <c r="L4" s="9" t="s">
        <v>26</v>
      </c>
    </row>
    <row r="5" spans="1:24" ht="15.75" customHeight="1">
      <c r="A5" s="7" t="s">
        <v>27</v>
      </c>
      <c r="B5" s="11">
        <v>52</v>
      </c>
      <c r="C5" s="11">
        <v>52</v>
      </c>
      <c r="D5" s="11">
        <v>48</v>
      </c>
      <c r="E5" s="11">
        <v>47</v>
      </c>
      <c r="F5" s="11">
        <v>49</v>
      </c>
      <c r="G5" s="11">
        <v>49</v>
      </c>
      <c r="H5" s="12">
        <v>40</v>
      </c>
      <c r="I5" s="13">
        <v>46</v>
      </c>
      <c r="J5" s="11">
        <v>49</v>
      </c>
      <c r="K5" s="11">
        <v>47</v>
      </c>
      <c r="L5" s="12">
        <v>50</v>
      </c>
    </row>
    <row r="6" spans="1:24" ht="15.75" customHeight="1">
      <c r="A6" s="7" t="s">
        <v>28</v>
      </c>
      <c r="B6" s="11">
        <v>48</v>
      </c>
      <c r="C6" s="11">
        <v>48</v>
      </c>
      <c r="D6" s="11">
        <v>52</v>
      </c>
      <c r="E6" s="11">
        <v>53</v>
      </c>
      <c r="F6" s="11">
        <v>51</v>
      </c>
      <c r="G6" s="11">
        <v>51</v>
      </c>
      <c r="H6" s="12">
        <v>60</v>
      </c>
      <c r="I6" s="13">
        <v>54</v>
      </c>
      <c r="J6" s="11">
        <v>51</v>
      </c>
      <c r="K6" s="11">
        <v>53</v>
      </c>
      <c r="L6" s="12">
        <v>50</v>
      </c>
    </row>
    <row r="7" spans="1:24" ht="15.75" customHeight="1">
      <c r="A7" s="7" t="s">
        <v>29</v>
      </c>
      <c r="B7" s="11">
        <v>10</v>
      </c>
      <c r="C7" s="11">
        <v>44</v>
      </c>
      <c r="D7" s="11">
        <v>60</v>
      </c>
      <c r="E7" s="11">
        <v>70</v>
      </c>
      <c r="F7" s="11">
        <v>76</v>
      </c>
      <c r="G7" s="11">
        <v>79</v>
      </c>
      <c r="H7" s="12">
        <v>77</v>
      </c>
      <c r="I7" s="13">
        <v>61</v>
      </c>
      <c r="J7" s="11">
        <v>68</v>
      </c>
      <c r="K7" s="11">
        <v>66</v>
      </c>
      <c r="L7" s="12">
        <v>62</v>
      </c>
    </row>
    <row r="8" spans="1:24" ht="15.75" customHeight="1">
      <c r="A8" s="7" t="s">
        <v>30</v>
      </c>
      <c r="B8" s="11">
        <v>5</v>
      </c>
      <c r="C8" s="11">
        <v>35</v>
      </c>
      <c r="D8" s="11">
        <v>49</v>
      </c>
      <c r="E8" s="11">
        <v>51</v>
      </c>
      <c r="F8" s="11">
        <v>43</v>
      </c>
      <c r="G8" s="11">
        <v>29</v>
      </c>
      <c r="H8" s="12">
        <v>17</v>
      </c>
      <c r="I8" s="13">
        <v>35</v>
      </c>
      <c r="J8" s="11">
        <v>40</v>
      </c>
      <c r="K8" s="11">
        <v>34</v>
      </c>
      <c r="L8" s="12">
        <v>40</v>
      </c>
    </row>
    <row r="9" spans="1:24" ht="15.75" customHeight="1">
      <c r="A9" s="14" t="s">
        <v>31</v>
      </c>
      <c r="B9" s="15">
        <v>73</v>
      </c>
      <c r="C9" s="15">
        <v>87</v>
      </c>
      <c r="D9" s="15">
        <v>91</v>
      </c>
      <c r="E9" s="15">
        <v>92</v>
      </c>
      <c r="F9" s="15">
        <v>91</v>
      </c>
      <c r="G9" s="15">
        <v>90</v>
      </c>
      <c r="H9" s="16">
        <v>82</v>
      </c>
      <c r="I9" s="17">
        <v>80</v>
      </c>
      <c r="J9" s="15">
        <v>88</v>
      </c>
      <c r="K9" s="15">
        <v>90</v>
      </c>
      <c r="L9" s="16">
        <v>93</v>
      </c>
    </row>
    <row r="10" spans="1:24" ht="15.75" customHeight="1">
      <c r="A10" s="2" t="s">
        <v>32</v>
      </c>
      <c r="B10" s="18"/>
      <c r="C10" s="18"/>
      <c r="D10" s="18"/>
      <c r="E10" s="18"/>
      <c r="F10" s="18"/>
      <c r="G10" s="18"/>
      <c r="H10" s="19"/>
      <c r="I10" s="20"/>
      <c r="J10" s="21"/>
      <c r="K10" s="21"/>
      <c r="L10" s="22"/>
    </row>
    <row r="11" spans="1:24" ht="15.75" customHeight="1">
      <c r="A11" s="7" t="s">
        <v>33</v>
      </c>
      <c r="B11" s="8" t="s">
        <v>34</v>
      </c>
      <c r="C11" s="8" t="s">
        <v>35</v>
      </c>
      <c r="D11" s="8" t="s">
        <v>36</v>
      </c>
      <c r="E11" s="8" t="s">
        <v>37</v>
      </c>
      <c r="F11" s="8" t="s">
        <v>38</v>
      </c>
      <c r="G11" s="8" t="s">
        <v>39</v>
      </c>
      <c r="H11" s="9" t="s">
        <v>40</v>
      </c>
      <c r="I11" s="10" t="s">
        <v>41</v>
      </c>
      <c r="J11" s="8" t="s">
        <v>42</v>
      </c>
      <c r="K11" s="8" t="s">
        <v>43</v>
      </c>
      <c r="L11" s="9" t="s">
        <v>44</v>
      </c>
    </row>
    <row r="12" spans="1:24" ht="15.75" customHeight="1">
      <c r="A12" s="7" t="s">
        <v>45</v>
      </c>
      <c r="B12" s="23">
        <v>7215</v>
      </c>
      <c r="C12" s="23">
        <v>9630</v>
      </c>
      <c r="D12" s="23">
        <v>12460</v>
      </c>
      <c r="E12" s="23">
        <v>12772</v>
      </c>
      <c r="F12" s="23">
        <v>10214</v>
      </c>
      <c r="G12" s="23">
        <v>8483</v>
      </c>
      <c r="H12" s="24">
        <v>7168</v>
      </c>
      <c r="I12" s="25">
        <v>11372</v>
      </c>
      <c r="J12" s="23">
        <v>9677</v>
      </c>
      <c r="K12" s="23">
        <v>9003</v>
      </c>
      <c r="L12" s="24">
        <v>11746</v>
      </c>
    </row>
    <row r="13" spans="1:24" ht="15.75" customHeight="1">
      <c r="A13" s="7" t="s">
        <v>46</v>
      </c>
      <c r="B13" s="23">
        <v>16853</v>
      </c>
      <c r="C13" s="23">
        <v>26380</v>
      </c>
      <c r="D13" s="23">
        <v>30369</v>
      </c>
      <c r="E13" s="23">
        <v>30747</v>
      </c>
      <c r="F13" s="23">
        <v>27019</v>
      </c>
      <c r="G13" s="23">
        <v>22329</v>
      </c>
      <c r="H13" s="24">
        <v>21999</v>
      </c>
      <c r="I13" s="25">
        <v>29469</v>
      </c>
      <c r="J13" s="23">
        <v>23065</v>
      </c>
      <c r="K13" s="23">
        <v>23260</v>
      </c>
      <c r="L13" s="24">
        <v>32147</v>
      </c>
    </row>
    <row r="14" spans="1:24" ht="15.75" customHeight="1">
      <c r="A14" s="7" t="s">
        <v>47</v>
      </c>
      <c r="B14" s="23">
        <v>2181</v>
      </c>
      <c r="C14" s="23">
        <v>4076</v>
      </c>
      <c r="D14" s="23">
        <v>5053</v>
      </c>
      <c r="E14" s="23">
        <v>5779</v>
      </c>
      <c r="F14" s="23">
        <v>5138</v>
      </c>
      <c r="G14" s="23">
        <v>4653</v>
      </c>
      <c r="H14" s="24">
        <v>4234</v>
      </c>
      <c r="I14" s="25">
        <v>5085</v>
      </c>
      <c r="J14" s="23">
        <v>4376</v>
      </c>
      <c r="K14" s="23">
        <v>4640</v>
      </c>
      <c r="L14" s="24">
        <v>4978</v>
      </c>
    </row>
    <row r="15" spans="1:24" ht="15.75" customHeight="1">
      <c r="A15" s="7" t="s">
        <v>48</v>
      </c>
      <c r="B15" s="11">
        <v>620</v>
      </c>
      <c r="C15" s="23">
        <v>1902</v>
      </c>
      <c r="D15" s="23">
        <v>2907</v>
      </c>
      <c r="E15" s="23">
        <v>2038</v>
      </c>
      <c r="F15" s="23">
        <v>1536</v>
      </c>
      <c r="G15" s="23">
        <v>1484</v>
      </c>
      <c r="H15" s="24">
        <v>2022</v>
      </c>
      <c r="I15" s="25">
        <v>1983</v>
      </c>
      <c r="J15" s="23">
        <v>1640</v>
      </c>
      <c r="K15" s="23">
        <v>1808</v>
      </c>
      <c r="L15" s="24">
        <v>2342</v>
      </c>
    </row>
    <row r="16" spans="1:24" ht="15.75" customHeight="1">
      <c r="A16" s="7" t="s">
        <v>49</v>
      </c>
      <c r="B16" s="11">
        <v>459</v>
      </c>
      <c r="C16" s="11">
        <v>692</v>
      </c>
      <c r="D16" s="11">
        <v>999</v>
      </c>
      <c r="E16" s="11">
        <v>914</v>
      </c>
      <c r="F16" s="23">
        <v>1022</v>
      </c>
      <c r="G16" s="11">
        <v>922</v>
      </c>
      <c r="H16" s="12">
        <v>770</v>
      </c>
      <c r="I16" s="13">
        <v>962</v>
      </c>
      <c r="J16" s="11">
        <v>957</v>
      </c>
      <c r="K16" s="11">
        <v>799</v>
      </c>
      <c r="L16" s="12">
        <v>877</v>
      </c>
    </row>
    <row r="17" spans="1:12" ht="15.75" customHeight="1">
      <c r="A17" s="7" t="s">
        <v>50</v>
      </c>
      <c r="B17" s="23">
        <v>1543</v>
      </c>
      <c r="C17" s="23">
        <v>2055</v>
      </c>
      <c r="D17" s="23">
        <v>2683</v>
      </c>
      <c r="E17" s="23">
        <v>2733</v>
      </c>
      <c r="F17" s="23">
        <v>2816</v>
      </c>
      <c r="G17" s="23">
        <v>2522</v>
      </c>
      <c r="H17" s="24">
        <v>1627</v>
      </c>
      <c r="I17" s="25">
        <v>2320</v>
      </c>
      <c r="J17" s="23">
        <v>2436</v>
      </c>
      <c r="K17" s="23">
        <v>2161</v>
      </c>
      <c r="L17" s="24">
        <v>2919</v>
      </c>
    </row>
    <row r="18" spans="1:12" ht="15.75" customHeight="1">
      <c r="A18" s="7" t="s">
        <v>51</v>
      </c>
      <c r="B18" s="23">
        <v>1541</v>
      </c>
      <c r="C18" s="23">
        <v>2220</v>
      </c>
      <c r="D18" s="23">
        <v>2649</v>
      </c>
      <c r="E18" s="23">
        <v>2547</v>
      </c>
      <c r="F18" s="23">
        <v>2032</v>
      </c>
      <c r="G18" s="23">
        <v>1377</v>
      </c>
      <c r="H18" s="12">
        <v>942</v>
      </c>
      <c r="I18" s="25">
        <v>2420</v>
      </c>
      <c r="J18" s="23">
        <v>1962</v>
      </c>
      <c r="K18" s="23">
        <v>1759</v>
      </c>
      <c r="L18" s="24">
        <v>2137</v>
      </c>
    </row>
    <row r="19" spans="1:12" ht="15.75" customHeight="1">
      <c r="A19" s="7" t="s">
        <v>52</v>
      </c>
      <c r="B19" s="23">
        <v>9243</v>
      </c>
      <c r="C19" s="23">
        <v>12802</v>
      </c>
      <c r="D19" s="23">
        <v>15581</v>
      </c>
      <c r="E19" s="23">
        <v>17184</v>
      </c>
      <c r="F19" s="23">
        <v>15085</v>
      </c>
      <c r="G19" s="23">
        <v>11414</v>
      </c>
      <c r="H19" s="24">
        <v>6855</v>
      </c>
      <c r="I19" s="25">
        <v>12341</v>
      </c>
      <c r="J19" s="23">
        <v>12901</v>
      </c>
      <c r="K19" s="23">
        <v>12768</v>
      </c>
      <c r="L19" s="24">
        <v>15463</v>
      </c>
    </row>
    <row r="20" spans="1:12" ht="15.75" customHeight="1">
      <c r="A20" s="7" t="s">
        <v>53</v>
      </c>
      <c r="B20" s="23">
        <v>1485</v>
      </c>
      <c r="C20" s="23">
        <v>3825</v>
      </c>
      <c r="D20" s="23">
        <v>5949</v>
      </c>
      <c r="E20" s="23">
        <v>6748</v>
      </c>
      <c r="F20" s="23">
        <v>6711</v>
      </c>
      <c r="G20" s="23">
        <v>7715</v>
      </c>
      <c r="H20" s="24">
        <v>7918</v>
      </c>
      <c r="I20" s="25">
        <v>6289</v>
      </c>
      <c r="J20" s="23">
        <v>6246</v>
      </c>
      <c r="K20" s="23">
        <v>5870</v>
      </c>
      <c r="L20" s="24">
        <v>6660</v>
      </c>
    </row>
    <row r="21" spans="1:12" ht="15.75" customHeight="1">
      <c r="A21" s="7" t="s">
        <v>54</v>
      </c>
      <c r="B21" s="23">
        <v>1835</v>
      </c>
      <c r="C21" s="23">
        <v>3224</v>
      </c>
      <c r="D21" s="23">
        <v>4128</v>
      </c>
      <c r="E21" s="23">
        <v>4803</v>
      </c>
      <c r="F21" s="23">
        <v>3706</v>
      </c>
      <c r="G21" s="23">
        <v>3122</v>
      </c>
      <c r="H21" s="24">
        <v>2888</v>
      </c>
      <c r="I21" s="25">
        <v>3440</v>
      </c>
      <c r="J21" s="23">
        <v>3913</v>
      </c>
      <c r="K21" s="23">
        <v>2999</v>
      </c>
      <c r="L21" s="24">
        <v>4544</v>
      </c>
    </row>
    <row r="22" spans="1:12" ht="15.75" customHeight="1">
      <c r="A22" s="7" t="s">
        <v>55</v>
      </c>
      <c r="B22" s="11">
        <v>647</v>
      </c>
      <c r="C22" s="11">
        <v>863</v>
      </c>
      <c r="D22" s="23">
        <v>1202</v>
      </c>
      <c r="E22" s="23">
        <v>1226</v>
      </c>
      <c r="F22" s="23">
        <v>1023</v>
      </c>
      <c r="G22" s="11">
        <v>817</v>
      </c>
      <c r="H22" s="12">
        <v>734</v>
      </c>
      <c r="I22" s="25">
        <v>1064</v>
      </c>
      <c r="J22" s="11">
        <v>971</v>
      </c>
      <c r="K22" s="11">
        <v>827</v>
      </c>
      <c r="L22" s="24">
        <v>1184</v>
      </c>
    </row>
    <row r="23" spans="1:12" ht="15.75" customHeight="1">
      <c r="A23" s="7" t="s">
        <v>56</v>
      </c>
      <c r="B23" s="23">
        <v>2652</v>
      </c>
      <c r="C23" s="23">
        <v>1418</v>
      </c>
      <c r="D23" s="23">
        <v>1445</v>
      </c>
      <c r="E23" s="23">
        <v>3181</v>
      </c>
      <c r="F23" s="23">
        <v>1856</v>
      </c>
      <c r="G23" s="11">
        <v>482</v>
      </c>
      <c r="H23" s="12">
        <v>354</v>
      </c>
      <c r="I23" s="25">
        <v>2277</v>
      </c>
      <c r="J23" s="23">
        <v>1818</v>
      </c>
      <c r="K23" s="23">
        <v>1036</v>
      </c>
      <c r="L23" s="24">
        <v>1723</v>
      </c>
    </row>
    <row r="24" spans="1:12" ht="15.75" customHeight="1">
      <c r="A24" s="7" t="s">
        <v>57</v>
      </c>
      <c r="B24" s="11">
        <v>376</v>
      </c>
      <c r="C24" s="23">
        <v>1417</v>
      </c>
      <c r="D24" s="23">
        <v>1119</v>
      </c>
      <c r="E24" s="23">
        <v>1374</v>
      </c>
      <c r="F24" s="23">
        <v>1633</v>
      </c>
      <c r="G24" s="23">
        <v>1067</v>
      </c>
      <c r="H24" s="12">
        <v>837</v>
      </c>
      <c r="I24" s="25">
        <v>1069</v>
      </c>
      <c r="J24" s="23">
        <v>1142</v>
      </c>
      <c r="K24" s="23">
        <v>1029</v>
      </c>
      <c r="L24" s="24">
        <v>1744</v>
      </c>
    </row>
    <row r="25" spans="1:12" ht="15.75" customHeight="1">
      <c r="A25" s="14" t="s">
        <v>58</v>
      </c>
      <c r="B25" s="26">
        <v>4428</v>
      </c>
      <c r="C25" s="26">
        <v>10701</v>
      </c>
      <c r="D25" s="26">
        <v>13465</v>
      </c>
      <c r="E25" s="26">
        <v>14948</v>
      </c>
      <c r="F25" s="26">
        <v>12172</v>
      </c>
      <c r="G25" s="26">
        <v>4579</v>
      </c>
      <c r="H25" s="27">
        <v>1908</v>
      </c>
      <c r="I25" s="28">
        <v>10702</v>
      </c>
      <c r="J25" s="26">
        <v>9665</v>
      </c>
      <c r="K25" s="26">
        <v>8488</v>
      </c>
      <c r="L25" s="27">
        <v>11539</v>
      </c>
    </row>
    <row r="26" spans="1:12" ht="15.75" customHeight="1">
      <c r="A26" s="110" t="s">
        <v>59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2"/>
    </row>
    <row r="28" spans="1:12" ht="15.75" customHeight="1">
      <c r="A28" s="29"/>
    </row>
  </sheetData>
  <mergeCells count="4">
    <mergeCell ref="A1:L1"/>
    <mergeCell ref="A2:H2"/>
    <mergeCell ref="I2:L2"/>
    <mergeCell ref="A26:L26"/>
  </mergeCells>
  <hyperlinks>
    <hyperlink ref="A2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10"/>
  <sheetViews>
    <sheetView workbookViewId="0"/>
  </sheetViews>
  <sheetFormatPr defaultColWidth="12.7109375" defaultRowHeight="15.75" customHeight="1"/>
  <cols>
    <col min="1" max="1" width="30.140625" customWidth="1"/>
    <col min="2" max="2" width="10.7109375" customWidth="1"/>
    <col min="3" max="3" width="11.140625" customWidth="1"/>
    <col min="4" max="4" width="10" customWidth="1"/>
    <col min="5" max="5" width="10.7109375" customWidth="1"/>
    <col min="6" max="6" width="11.140625" customWidth="1"/>
    <col min="7" max="7" width="7.28515625" customWidth="1"/>
    <col min="8" max="8" width="2.42578125" customWidth="1"/>
    <col min="9" max="9" width="29.140625" customWidth="1"/>
    <col min="10" max="10" width="10.85546875" customWidth="1"/>
    <col min="12" max="12" width="15.7109375" customWidth="1"/>
  </cols>
  <sheetData>
    <row r="1" spans="1:24" ht="12.95">
      <c r="A1" s="88" t="s">
        <v>60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3" spans="1:24" ht="15.95">
      <c r="A3" s="89" t="s">
        <v>61</v>
      </c>
      <c r="B3" s="111"/>
      <c r="C3" s="111"/>
      <c r="D3" s="111"/>
      <c r="E3" s="111"/>
      <c r="F3" s="111"/>
      <c r="G3" s="112"/>
      <c r="I3" s="90" t="s">
        <v>62</v>
      </c>
      <c r="J3" s="113"/>
      <c r="K3" s="113"/>
      <c r="L3" s="113"/>
      <c r="M3" s="113"/>
      <c r="N3" s="114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27.95">
      <c r="A4" s="91" t="s">
        <v>63</v>
      </c>
      <c r="B4" s="113"/>
      <c r="C4" s="113"/>
      <c r="D4" s="113"/>
      <c r="E4" s="113"/>
      <c r="F4" s="113"/>
      <c r="G4" s="114"/>
      <c r="H4" s="79"/>
      <c r="I4" s="31" t="s">
        <v>64</v>
      </c>
      <c r="J4" s="80" t="s">
        <v>65</v>
      </c>
      <c r="K4" s="80" t="s">
        <v>66</v>
      </c>
      <c r="L4" s="80" t="s">
        <v>67</v>
      </c>
      <c r="M4" s="80" t="s">
        <v>68</v>
      </c>
      <c r="N4" s="81" t="s">
        <v>69</v>
      </c>
      <c r="O4" s="1"/>
      <c r="P4" s="30"/>
      <c r="Q4" s="30"/>
      <c r="R4" s="30"/>
      <c r="S4" s="30"/>
      <c r="T4" s="30"/>
      <c r="U4" s="30"/>
      <c r="V4" s="30"/>
      <c r="W4" s="30"/>
      <c r="X4" s="30"/>
    </row>
    <row r="5" spans="1:24" ht="20.25" customHeight="1">
      <c r="A5" s="80" t="s">
        <v>64</v>
      </c>
      <c r="B5" s="80" t="s">
        <v>65</v>
      </c>
      <c r="C5" s="80" t="s">
        <v>66</v>
      </c>
      <c r="D5" s="80" t="s">
        <v>67</v>
      </c>
      <c r="E5" s="80" t="s">
        <v>68</v>
      </c>
      <c r="F5" s="80" t="s">
        <v>69</v>
      </c>
      <c r="G5" s="81" t="s">
        <v>70</v>
      </c>
      <c r="I5" s="32" t="s">
        <v>71</v>
      </c>
      <c r="J5" s="33">
        <v>272</v>
      </c>
      <c r="K5" s="33">
        <v>544</v>
      </c>
      <c r="L5" s="33">
        <v>850</v>
      </c>
      <c r="M5" s="34">
        <v>1257</v>
      </c>
      <c r="N5" s="35">
        <v>2391</v>
      </c>
    </row>
    <row r="6" spans="1:24" ht="26.1">
      <c r="A6" s="36" t="s">
        <v>72</v>
      </c>
      <c r="B6" s="11">
        <v>1.7</v>
      </c>
      <c r="C6" s="11">
        <v>2</v>
      </c>
      <c r="D6" s="11">
        <v>2.2999999999999998</v>
      </c>
      <c r="E6" s="11">
        <v>2.2999999999999998</v>
      </c>
      <c r="F6" s="11">
        <v>2.4</v>
      </c>
      <c r="G6" s="12">
        <v>2.1</v>
      </c>
      <c r="I6" s="110" t="s">
        <v>73</v>
      </c>
      <c r="J6" s="111"/>
      <c r="K6" s="111"/>
      <c r="L6" s="111"/>
      <c r="M6" s="111"/>
      <c r="N6" s="112"/>
    </row>
    <row r="7" spans="1:24" ht="14.1">
      <c r="A7" s="37" t="s">
        <v>74</v>
      </c>
      <c r="B7" s="38" t="s">
        <v>75</v>
      </c>
      <c r="C7" s="39"/>
      <c r="D7" s="39"/>
      <c r="E7" s="39"/>
      <c r="F7" s="39"/>
      <c r="G7" s="40"/>
    </row>
    <row r="8" spans="1:24" ht="15.95">
      <c r="A8" s="36" t="s">
        <v>76</v>
      </c>
      <c r="B8" s="11">
        <v>35.1</v>
      </c>
      <c r="C8" s="11">
        <v>36.1</v>
      </c>
      <c r="D8" s="11">
        <v>53.1</v>
      </c>
      <c r="E8" s="11">
        <v>55.9</v>
      </c>
      <c r="F8" s="11">
        <v>58.4</v>
      </c>
      <c r="G8" s="12">
        <v>48.9</v>
      </c>
      <c r="I8" s="92" t="s">
        <v>2</v>
      </c>
      <c r="J8" s="113"/>
      <c r="K8" s="113"/>
      <c r="L8" s="113"/>
      <c r="M8" s="113"/>
      <c r="N8" s="114"/>
    </row>
    <row r="9" spans="1:24" ht="27.95">
      <c r="A9" s="36" t="s">
        <v>77</v>
      </c>
      <c r="B9" s="11">
        <v>3.8</v>
      </c>
      <c r="C9" s="11">
        <v>3.1</v>
      </c>
      <c r="D9" s="11">
        <v>5.8</v>
      </c>
      <c r="E9" s="11">
        <v>4.7</v>
      </c>
      <c r="F9" s="11">
        <v>6.5</v>
      </c>
      <c r="G9" s="12">
        <v>4.9000000000000004</v>
      </c>
      <c r="I9" s="37" t="s">
        <v>78</v>
      </c>
      <c r="J9" s="41" t="s">
        <v>79</v>
      </c>
      <c r="K9" s="41" t="s">
        <v>80</v>
      </c>
      <c r="L9" s="41" t="s">
        <v>81</v>
      </c>
      <c r="M9" s="41" t="s">
        <v>82</v>
      </c>
      <c r="N9" s="42" t="s">
        <v>83</v>
      </c>
    </row>
    <row r="10" spans="1:24" ht="26.1">
      <c r="A10" s="36" t="s">
        <v>84</v>
      </c>
      <c r="B10" s="11">
        <v>5.7</v>
      </c>
      <c r="C10" s="11">
        <v>10.199999999999999</v>
      </c>
      <c r="D10" s="11">
        <v>15.4</v>
      </c>
      <c r="E10" s="11">
        <v>14.6</v>
      </c>
      <c r="F10" s="11">
        <v>17.899999999999999</v>
      </c>
      <c r="G10" s="12">
        <v>13.2</v>
      </c>
      <c r="I10" s="36" t="s">
        <v>72</v>
      </c>
      <c r="J10" s="11">
        <v>2.2999999999999998</v>
      </c>
      <c r="K10" s="11">
        <v>2.2000000000000002</v>
      </c>
      <c r="L10" s="11">
        <v>2.1</v>
      </c>
      <c r="M10" s="11">
        <v>2.5</v>
      </c>
      <c r="N10" s="12">
        <v>2.2999999999999998</v>
      </c>
    </row>
    <row r="11" spans="1:24" ht="14.1">
      <c r="A11" s="36" t="s">
        <v>85</v>
      </c>
      <c r="B11" s="11">
        <v>136</v>
      </c>
      <c r="C11" s="11">
        <v>143.69999999999999</v>
      </c>
      <c r="D11" s="11">
        <v>171.3</v>
      </c>
      <c r="E11" s="11">
        <v>158.4</v>
      </c>
      <c r="F11" s="11">
        <v>264.7</v>
      </c>
      <c r="G11" s="12">
        <v>173.5</v>
      </c>
      <c r="I11" s="37" t="s">
        <v>74</v>
      </c>
      <c r="J11" s="38" t="s">
        <v>75</v>
      </c>
      <c r="K11" s="38"/>
      <c r="L11" s="38"/>
      <c r="M11" s="38"/>
      <c r="N11" s="43"/>
    </row>
    <row r="12" spans="1:24" ht="12.95">
      <c r="A12" s="36" t="s">
        <v>86</v>
      </c>
      <c r="B12" s="11">
        <v>13.2</v>
      </c>
      <c r="C12" s="11">
        <v>24.6</v>
      </c>
      <c r="D12" s="11">
        <v>21.9</v>
      </c>
      <c r="E12" s="11">
        <v>36.4</v>
      </c>
      <c r="F12" s="11">
        <v>31.3</v>
      </c>
      <c r="G12" s="12">
        <v>26.3</v>
      </c>
      <c r="I12" s="36" t="s">
        <v>76</v>
      </c>
      <c r="J12" s="11">
        <v>65.599999999999994</v>
      </c>
      <c r="K12" s="11">
        <v>62.2</v>
      </c>
      <c r="L12" s="11">
        <v>61.5</v>
      </c>
      <c r="M12" s="11">
        <v>77.900000000000006</v>
      </c>
      <c r="N12" s="12">
        <v>65.400000000000006</v>
      </c>
    </row>
    <row r="13" spans="1:24" ht="12.95">
      <c r="A13" s="36" t="s">
        <v>87</v>
      </c>
      <c r="B13" s="11" t="s">
        <v>88</v>
      </c>
      <c r="C13" s="11" t="s">
        <v>88</v>
      </c>
      <c r="D13" s="11" t="s">
        <v>88</v>
      </c>
      <c r="E13" s="11" t="s">
        <v>88</v>
      </c>
      <c r="F13" s="11" t="s">
        <v>88</v>
      </c>
      <c r="G13" s="12">
        <v>3.8</v>
      </c>
      <c r="I13" s="36" t="s">
        <v>77</v>
      </c>
      <c r="J13" s="11">
        <v>11.1</v>
      </c>
      <c r="K13" s="11">
        <v>14.1</v>
      </c>
      <c r="L13" s="11">
        <v>11.6</v>
      </c>
      <c r="M13" s="11">
        <v>13.4</v>
      </c>
      <c r="N13" s="12">
        <v>11.3</v>
      </c>
    </row>
    <row r="14" spans="1:24" ht="12.95">
      <c r="A14" s="36" t="s">
        <v>89</v>
      </c>
      <c r="B14" s="11">
        <v>19.100000000000001</v>
      </c>
      <c r="C14" s="11">
        <v>46.5</v>
      </c>
      <c r="D14" s="11">
        <v>61.6</v>
      </c>
      <c r="E14" s="11">
        <v>90.5</v>
      </c>
      <c r="F14" s="11">
        <v>108</v>
      </c>
      <c r="G14" s="12">
        <v>67.400000000000006</v>
      </c>
      <c r="I14" s="36" t="s">
        <v>84</v>
      </c>
      <c r="J14" s="11">
        <v>17.399999999999999</v>
      </c>
      <c r="K14" s="11">
        <v>16.899999999999999</v>
      </c>
      <c r="L14" s="11">
        <v>14.8</v>
      </c>
      <c r="M14" s="11">
        <v>23.8</v>
      </c>
      <c r="N14" s="12">
        <v>17.3</v>
      </c>
    </row>
    <row r="15" spans="1:24" ht="12.95">
      <c r="A15" s="36" t="s">
        <v>90</v>
      </c>
      <c r="B15" s="11">
        <v>13.5</v>
      </c>
      <c r="C15" s="11">
        <v>17.7</v>
      </c>
      <c r="D15" s="11">
        <v>19.600000000000001</v>
      </c>
      <c r="E15" s="11">
        <v>23.1</v>
      </c>
      <c r="F15" s="11">
        <v>20.2</v>
      </c>
      <c r="G15" s="12">
        <v>19.399999999999999</v>
      </c>
      <c r="I15" s="36" t="s">
        <v>91</v>
      </c>
      <c r="J15" s="11">
        <v>106.5</v>
      </c>
      <c r="K15" s="11">
        <v>83.3</v>
      </c>
      <c r="L15" s="11">
        <v>81.8</v>
      </c>
      <c r="M15" s="11">
        <v>71.3</v>
      </c>
      <c r="N15" s="12">
        <v>102.2</v>
      </c>
    </row>
    <row r="16" spans="1:24" ht="12.95">
      <c r="A16" s="36" t="s">
        <v>92</v>
      </c>
      <c r="B16" s="11">
        <v>19.899999999999999</v>
      </c>
      <c r="C16" s="11">
        <v>27.2</v>
      </c>
      <c r="D16" s="11">
        <v>37.4</v>
      </c>
      <c r="E16" s="11">
        <v>61.8</v>
      </c>
      <c r="F16" s="11">
        <v>64.900000000000006</v>
      </c>
      <c r="G16" s="12">
        <v>43.8</v>
      </c>
      <c r="I16" s="36" t="s">
        <v>86</v>
      </c>
      <c r="J16" s="11">
        <v>36.9</v>
      </c>
      <c r="K16" s="11">
        <v>32</v>
      </c>
      <c r="L16" s="11">
        <v>32.299999999999997</v>
      </c>
      <c r="M16" s="11">
        <v>37.9</v>
      </c>
      <c r="N16" s="12">
        <v>36.299999999999997</v>
      </c>
    </row>
    <row r="17" spans="1:22" ht="12.95">
      <c r="A17" s="36" t="s">
        <v>56</v>
      </c>
      <c r="B17" s="11" t="s">
        <v>88</v>
      </c>
      <c r="C17" s="11" t="s">
        <v>88</v>
      </c>
      <c r="D17" s="11" t="s">
        <v>88</v>
      </c>
      <c r="E17" s="11" t="s">
        <v>88</v>
      </c>
      <c r="F17" s="11" t="s">
        <v>88</v>
      </c>
      <c r="G17" s="12">
        <v>9.6</v>
      </c>
      <c r="I17" s="36" t="s">
        <v>87</v>
      </c>
      <c r="J17" s="11">
        <v>8.6999999999999993</v>
      </c>
      <c r="K17" s="11">
        <v>7.7</v>
      </c>
      <c r="L17" s="11">
        <v>6.4</v>
      </c>
      <c r="M17" s="11">
        <v>11.4</v>
      </c>
      <c r="N17" s="12">
        <v>8.5</v>
      </c>
    </row>
    <row r="18" spans="1:22" ht="12.95">
      <c r="A18" s="36" t="s">
        <v>93</v>
      </c>
      <c r="B18" s="11">
        <v>13</v>
      </c>
      <c r="C18" s="11">
        <v>18.600000000000001</v>
      </c>
      <c r="D18" s="11">
        <v>32.1</v>
      </c>
      <c r="E18" s="11">
        <v>45.4</v>
      </c>
      <c r="F18" s="11">
        <v>80.400000000000006</v>
      </c>
      <c r="G18" s="12">
        <v>38.200000000000003</v>
      </c>
      <c r="I18" s="36" t="s">
        <v>89</v>
      </c>
      <c r="J18" s="11">
        <v>80.8</v>
      </c>
      <c r="K18" s="11">
        <v>81.3</v>
      </c>
      <c r="L18" s="11">
        <v>75.900000000000006</v>
      </c>
      <c r="M18" s="11">
        <v>89.5</v>
      </c>
      <c r="N18" s="12">
        <v>80.599999999999994</v>
      </c>
    </row>
    <row r="19" spans="1:22" ht="12.95">
      <c r="A19" s="36" t="s">
        <v>94</v>
      </c>
      <c r="B19" s="11">
        <v>12.4</v>
      </c>
      <c r="C19" s="11">
        <v>28</v>
      </c>
      <c r="D19" s="11">
        <v>35</v>
      </c>
      <c r="E19" s="11">
        <v>40.4</v>
      </c>
      <c r="F19" s="11">
        <v>39.1</v>
      </c>
      <c r="G19" s="12">
        <v>32.6</v>
      </c>
      <c r="I19" s="36" t="s">
        <v>90</v>
      </c>
      <c r="J19" s="11">
        <v>21.4</v>
      </c>
      <c r="K19" s="11">
        <v>20.3</v>
      </c>
      <c r="L19" s="11">
        <v>21</v>
      </c>
      <c r="M19" s="11">
        <v>20.9</v>
      </c>
      <c r="N19" s="12">
        <v>21.3</v>
      </c>
    </row>
    <row r="20" spans="1:22" ht="12.95">
      <c r="A20" s="44" t="s">
        <v>95</v>
      </c>
      <c r="B20" s="15">
        <v>15</v>
      </c>
      <c r="C20" s="15">
        <v>35.6</v>
      </c>
      <c r="D20" s="15">
        <v>54.6</v>
      </c>
      <c r="E20" s="15">
        <v>79.8</v>
      </c>
      <c r="F20" s="15">
        <v>109.5</v>
      </c>
      <c r="G20" s="16">
        <v>60.8</v>
      </c>
      <c r="I20" s="36" t="s">
        <v>92</v>
      </c>
      <c r="J20" s="11">
        <v>65.2</v>
      </c>
      <c r="K20" s="11">
        <v>67.900000000000006</v>
      </c>
      <c r="L20" s="11">
        <v>62.3</v>
      </c>
      <c r="M20" s="11">
        <v>54</v>
      </c>
      <c r="N20" s="12">
        <v>64.7</v>
      </c>
    </row>
    <row r="21" spans="1:22" ht="12.95">
      <c r="A21" s="91" t="s">
        <v>96</v>
      </c>
      <c r="B21" s="113"/>
      <c r="C21" s="113"/>
      <c r="D21" s="113"/>
      <c r="E21" s="113"/>
      <c r="F21" s="113"/>
      <c r="G21" s="114"/>
      <c r="I21" s="36" t="s">
        <v>56</v>
      </c>
      <c r="J21" s="11">
        <v>5.7</v>
      </c>
      <c r="K21" s="11">
        <v>2.7</v>
      </c>
      <c r="L21" s="11">
        <v>1.6</v>
      </c>
      <c r="M21" s="11">
        <v>3.9</v>
      </c>
      <c r="N21" s="12">
        <v>5.0999999999999996</v>
      </c>
    </row>
    <row r="22" spans="1:22" ht="27.95">
      <c r="A22" s="41" t="s">
        <v>64</v>
      </c>
      <c r="B22" s="41" t="s">
        <v>65</v>
      </c>
      <c r="C22" s="41" t="s">
        <v>66</v>
      </c>
      <c r="D22" s="41" t="s">
        <v>67</v>
      </c>
      <c r="E22" s="41" t="s">
        <v>68</v>
      </c>
      <c r="F22" s="41" t="s">
        <v>69</v>
      </c>
      <c r="G22" s="42" t="s">
        <v>70</v>
      </c>
      <c r="I22" s="36" t="s">
        <v>93</v>
      </c>
      <c r="J22" s="11">
        <v>40.9</v>
      </c>
      <c r="K22" s="11">
        <v>38.200000000000003</v>
      </c>
      <c r="L22" s="11">
        <v>31.1</v>
      </c>
      <c r="M22" s="11">
        <v>40.799999999999997</v>
      </c>
      <c r="N22" s="12">
        <v>39.9</v>
      </c>
    </row>
    <row r="23" spans="1:22" ht="26.1">
      <c r="A23" s="36" t="s">
        <v>72</v>
      </c>
      <c r="B23" s="11">
        <v>2.2000000000000002</v>
      </c>
      <c r="C23" s="11">
        <v>2.7</v>
      </c>
      <c r="D23" s="11">
        <v>3.1</v>
      </c>
      <c r="E23" s="11">
        <v>3.1</v>
      </c>
      <c r="F23" s="11">
        <v>3.2</v>
      </c>
      <c r="G23" s="12">
        <v>3</v>
      </c>
      <c r="I23" s="36" t="s">
        <v>94</v>
      </c>
      <c r="J23" s="11">
        <v>43.2</v>
      </c>
      <c r="K23" s="11">
        <v>37</v>
      </c>
      <c r="L23" s="11">
        <v>35.1</v>
      </c>
      <c r="M23" s="11">
        <v>46.2</v>
      </c>
      <c r="N23" s="12">
        <v>42.2</v>
      </c>
    </row>
    <row r="24" spans="1:22" ht="14.1">
      <c r="A24" s="37" t="s">
        <v>74</v>
      </c>
      <c r="B24" s="38" t="s">
        <v>75</v>
      </c>
      <c r="C24" s="39"/>
      <c r="D24" s="39"/>
      <c r="E24" s="39"/>
      <c r="F24" s="39"/>
      <c r="G24" s="40"/>
      <c r="I24" s="44" t="s">
        <v>95</v>
      </c>
      <c r="J24" s="15">
        <v>81.099999999999994</v>
      </c>
      <c r="K24" s="15">
        <v>70.599999999999994</v>
      </c>
      <c r="L24" s="15">
        <v>64</v>
      </c>
      <c r="M24" s="15">
        <v>59.1</v>
      </c>
      <c r="N24" s="16">
        <v>78.400000000000006</v>
      </c>
      <c r="O24" s="45"/>
      <c r="P24" s="45"/>
      <c r="Q24" s="45"/>
      <c r="R24" s="45"/>
      <c r="S24" s="45"/>
      <c r="T24" s="45"/>
      <c r="U24" s="45"/>
      <c r="V24" s="46"/>
    </row>
    <row r="25" spans="1:22" ht="12.95">
      <c r="A25" s="36" t="s">
        <v>76</v>
      </c>
      <c r="B25" s="11">
        <v>45.7</v>
      </c>
      <c r="C25" s="11">
        <v>57.3</v>
      </c>
      <c r="D25" s="11">
        <v>69.3</v>
      </c>
      <c r="E25" s="11">
        <v>76.2</v>
      </c>
      <c r="F25" s="11">
        <v>87.3</v>
      </c>
      <c r="G25" s="12">
        <v>71.7</v>
      </c>
      <c r="I25" s="110" t="s">
        <v>97</v>
      </c>
      <c r="J25" s="111"/>
      <c r="K25" s="111"/>
      <c r="L25" s="111"/>
      <c r="M25" s="111"/>
      <c r="N25" s="112"/>
    </row>
    <row r="26" spans="1:22" ht="12.95">
      <c r="A26" s="36" t="s">
        <v>77</v>
      </c>
      <c r="B26" s="11">
        <v>7.6</v>
      </c>
      <c r="C26" s="11">
        <v>7.4</v>
      </c>
      <c r="D26" s="11">
        <v>9</v>
      </c>
      <c r="E26" s="11">
        <v>10.5</v>
      </c>
      <c r="F26" s="11">
        <v>12.7</v>
      </c>
      <c r="G26" s="12">
        <v>10</v>
      </c>
    </row>
    <row r="27" spans="1:22" ht="12.95">
      <c r="A27" s="36" t="s">
        <v>84</v>
      </c>
      <c r="B27" s="11">
        <v>11</v>
      </c>
      <c r="C27" s="11">
        <v>16.3</v>
      </c>
      <c r="D27" s="11">
        <v>19.399999999999999</v>
      </c>
      <c r="E27" s="11">
        <v>24.2</v>
      </c>
      <c r="F27" s="11">
        <v>27.9</v>
      </c>
      <c r="G27" s="12">
        <v>21.6</v>
      </c>
    </row>
    <row r="28" spans="1:22" ht="12.95">
      <c r="A28" s="36" t="s">
        <v>85</v>
      </c>
      <c r="B28" s="11">
        <v>103.8</v>
      </c>
      <c r="C28" s="11">
        <v>133</v>
      </c>
      <c r="D28" s="11">
        <v>124.7</v>
      </c>
      <c r="E28" s="11">
        <v>110.2</v>
      </c>
      <c r="F28" s="11">
        <v>126.4</v>
      </c>
      <c r="G28" s="12">
        <v>120.7</v>
      </c>
    </row>
    <row r="29" spans="1:22" ht="12.95">
      <c r="A29" s="36" t="s">
        <v>86</v>
      </c>
      <c r="B29" s="11">
        <v>16.8</v>
      </c>
      <c r="C29" s="11">
        <v>24.3</v>
      </c>
      <c r="D29" s="11">
        <v>27.6</v>
      </c>
      <c r="E29" s="11">
        <v>35.9</v>
      </c>
      <c r="F29" s="11">
        <v>57.3</v>
      </c>
      <c r="G29" s="12">
        <v>36.5</v>
      </c>
    </row>
    <row r="30" spans="1:22" ht="12.95">
      <c r="A30" s="36" t="s">
        <v>87</v>
      </c>
      <c r="B30" s="11" t="s">
        <v>88</v>
      </c>
      <c r="C30" s="11" t="s">
        <v>88</v>
      </c>
      <c r="D30" s="11" t="s">
        <v>88</v>
      </c>
      <c r="E30" s="11" t="s">
        <v>88</v>
      </c>
      <c r="F30" s="11" t="s">
        <v>88</v>
      </c>
      <c r="G30" s="12">
        <v>6.7</v>
      </c>
    </row>
    <row r="31" spans="1:22" ht="12.95">
      <c r="A31" s="36" t="s">
        <v>89</v>
      </c>
      <c r="B31" s="11">
        <v>29.6</v>
      </c>
      <c r="C31" s="11">
        <v>51.1</v>
      </c>
      <c r="D31" s="11">
        <v>74</v>
      </c>
      <c r="E31" s="11">
        <v>97</v>
      </c>
      <c r="F31" s="11">
        <v>134.1</v>
      </c>
      <c r="G31" s="12">
        <v>88.4</v>
      </c>
    </row>
    <row r="32" spans="1:22" ht="12.95">
      <c r="A32" s="36" t="s">
        <v>90</v>
      </c>
      <c r="B32" s="11">
        <v>15.2</v>
      </c>
      <c r="C32" s="11">
        <v>18.600000000000001</v>
      </c>
      <c r="D32" s="11">
        <v>23.7</v>
      </c>
      <c r="E32" s="11">
        <v>24.1</v>
      </c>
      <c r="F32" s="11">
        <v>26.1</v>
      </c>
      <c r="G32" s="12">
        <v>22.8</v>
      </c>
    </row>
    <row r="33" spans="1:24" ht="12.95">
      <c r="A33" s="36" t="s">
        <v>92</v>
      </c>
      <c r="B33" s="11">
        <v>20.7</v>
      </c>
      <c r="C33" s="11">
        <v>35.4</v>
      </c>
      <c r="D33" s="11">
        <v>50.1</v>
      </c>
      <c r="E33" s="11">
        <v>66.099999999999994</v>
      </c>
      <c r="F33" s="11">
        <v>112.1</v>
      </c>
      <c r="G33" s="12">
        <v>66.2</v>
      </c>
    </row>
    <row r="34" spans="1:24" ht="12.95">
      <c r="A34" s="36" t="s">
        <v>56</v>
      </c>
      <c r="B34" s="11" t="s">
        <v>88</v>
      </c>
      <c r="C34" s="11" t="s">
        <v>88</v>
      </c>
      <c r="D34" s="11" t="s">
        <v>88</v>
      </c>
      <c r="E34" s="11" t="s">
        <v>88</v>
      </c>
      <c r="F34" s="11" t="s">
        <v>88</v>
      </c>
      <c r="G34" s="12">
        <v>7.5</v>
      </c>
    </row>
    <row r="35" spans="1:24" ht="12.95">
      <c r="A35" s="36" t="s">
        <v>93</v>
      </c>
      <c r="B35" s="11">
        <v>15.2</v>
      </c>
      <c r="C35" s="11">
        <v>20.7</v>
      </c>
      <c r="D35" s="11">
        <v>33.9</v>
      </c>
      <c r="E35" s="11">
        <v>45.2</v>
      </c>
      <c r="F35" s="11">
        <v>72</v>
      </c>
      <c r="G35" s="12">
        <v>43.5</v>
      </c>
    </row>
    <row r="36" spans="1:24" ht="12.95">
      <c r="A36" s="36" t="s">
        <v>94</v>
      </c>
      <c r="B36" s="11">
        <v>17.399999999999999</v>
      </c>
      <c r="C36" s="11">
        <v>29.3</v>
      </c>
      <c r="D36" s="11">
        <v>34.700000000000003</v>
      </c>
      <c r="E36" s="11">
        <v>46.7</v>
      </c>
      <c r="F36" s="11">
        <v>74.3</v>
      </c>
      <c r="G36" s="12">
        <v>46.3</v>
      </c>
    </row>
    <row r="37" spans="1:24" ht="12.95">
      <c r="A37" s="44" t="s">
        <v>95</v>
      </c>
      <c r="B37" s="15">
        <v>28.5</v>
      </c>
      <c r="C37" s="15">
        <v>46.7</v>
      </c>
      <c r="D37" s="15">
        <v>72.400000000000006</v>
      </c>
      <c r="E37" s="15">
        <v>102.4</v>
      </c>
      <c r="F37" s="15">
        <v>162.6</v>
      </c>
      <c r="G37" s="16">
        <v>96.8</v>
      </c>
    </row>
    <row r="38" spans="1:24" ht="12.95">
      <c r="A38" s="91" t="s">
        <v>98</v>
      </c>
      <c r="B38" s="113"/>
      <c r="C38" s="113"/>
      <c r="D38" s="113"/>
      <c r="E38" s="113"/>
      <c r="F38" s="113"/>
      <c r="G38" s="114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 spans="1:24" ht="27.95">
      <c r="A39" s="41" t="s">
        <v>64</v>
      </c>
      <c r="B39" s="41" t="s">
        <v>65</v>
      </c>
      <c r="C39" s="41" t="s">
        <v>66</v>
      </c>
      <c r="D39" s="41" t="s">
        <v>67</v>
      </c>
      <c r="E39" s="41" t="s">
        <v>68</v>
      </c>
      <c r="F39" s="41" t="s">
        <v>69</v>
      </c>
      <c r="G39" s="42" t="s">
        <v>70</v>
      </c>
    </row>
    <row r="40" spans="1:24" ht="26.1">
      <c r="A40" s="36" t="s">
        <v>72</v>
      </c>
      <c r="B40" s="11">
        <v>1.4</v>
      </c>
      <c r="C40" s="11">
        <v>1.9</v>
      </c>
      <c r="D40" s="11">
        <v>2.2000000000000002</v>
      </c>
      <c r="E40" s="11">
        <v>2.6</v>
      </c>
      <c r="F40" s="11">
        <v>3.1</v>
      </c>
      <c r="G40" s="12">
        <v>2.2999999999999998</v>
      </c>
    </row>
    <row r="41" spans="1:24" ht="14.1">
      <c r="A41" s="37" t="s">
        <v>74</v>
      </c>
      <c r="B41" s="38" t="s">
        <v>75</v>
      </c>
      <c r="C41" s="39"/>
      <c r="D41" s="39"/>
      <c r="E41" s="39"/>
      <c r="F41" s="39"/>
      <c r="G41" s="40"/>
    </row>
    <row r="42" spans="1:24" ht="12.95">
      <c r="A42" s="36" t="s">
        <v>76</v>
      </c>
      <c r="B42" s="11">
        <v>40.200000000000003</v>
      </c>
      <c r="C42" s="11">
        <v>56.8</v>
      </c>
      <c r="D42" s="11">
        <v>68</v>
      </c>
      <c r="E42" s="11">
        <v>78.3</v>
      </c>
      <c r="F42" s="11">
        <v>98.6</v>
      </c>
      <c r="G42" s="12">
        <v>70.8</v>
      </c>
    </row>
    <row r="43" spans="1:24" ht="12.95">
      <c r="A43" s="36" t="s">
        <v>77</v>
      </c>
      <c r="B43" s="11">
        <v>9.8000000000000007</v>
      </c>
      <c r="C43" s="11">
        <v>12</v>
      </c>
      <c r="D43" s="11">
        <v>15.3</v>
      </c>
      <c r="E43" s="11">
        <v>15.8</v>
      </c>
      <c r="F43" s="11">
        <v>20.399999999999999</v>
      </c>
      <c r="G43" s="12">
        <v>15.1</v>
      </c>
    </row>
    <row r="44" spans="1:24" ht="12.95">
      <c r="A44" s="36" t="s">
        <v>84</v>
      </c>
      <c r="B44" s="11">
        <v>6.1</v>
      </c>
      <c r="C44" s="11">
        <v>14.2</v>
      </c>
      <c r="D44" s="11">
        <v>16.600000000000001</v>
      </c>
      <c r="E44" s="11">
        <v>21.3</v>
      </c>
      <c r="F44" s="11">
        <v>33</v>
      </c>
      <c r="G44" s="12">
        <v>19.3</v>
      </c>
    </row>
    <row r="45" spans="1:24" ht="12.95">
      <c r="A45" s="36" t="s">
        <v>85</v>
      </c>
      <c r="B45" s="11">
        <v>75.5</v>
      </c>
      <c r="C45" s="11">
        <v>91.1</v>
      </c>
      <c r="D45" s="11">
        <v>92.8</v>
      </c>
      <c r="E45" s="11">
        <v>98.1</v>
      </c>
      <c r="F45" s="11">
        <v>104.7</v>
      </c>
      <c r="G45" s="12">
        <v>93.4</v>
      </c>
    </row>
    <row r="46" spans="1:24" ht="12.95">
      <c r="A46" s="36" t="s">
        <v>86</v>
      </c>
      <c r="B46" s="11">
        <v>21.1</v>
      </c>
      <c r="C46" s="11">
        <v>32.9</v>
      </c>
      <c r="D46" s="11">
        <v>38.299999999999997</v>
      </c>
      <c r="E46" s="11">
        <v>42.6</v>
      </c>
      <c r="F46" s="11">
        <v>60.6</v>
      </c>
      <c r="G46" s="12">
        <v>40.700000000000003</v>
      </c>
    </row>
    <row r="47" spans="1:24" ht="12.95">
      <c r="A47" s="36" t="s">
        <v>87</v>
      </c>
      <c r="B47" s="11" t="s">
        <v>88</v>
      </c>
      <c r="C47" s="11" t="s">
        <v>88</v>
      </c>
      <c r="D47" s="11" t="s">
        <v>88</v>
      </c>
      <c r="E47" s="11" t="s">
        <v>88</v>
      </c>
      <c r="F47" s="11" t="s">
        <v>88</v>
      </c>
      <c r="G47" s="12">
        <v>9.6999999999999993</v>
      </c>
    </row>
    <row r="48" spans="1:24" ht="12.95">
      <c r="A48" s="36" t="s">
        <v>89</v>
      </c>
      <c r="B48" s="11">
        <v>36.6</v>
      </c>
      <c r="C48" s="11">
        <v>60.7</v>
      </c>
      <c r="D48" s="11">
        <v>85.8</v>
      </c>
      <c r="E48" s="11">
        <v>119.4</v>
      </c>
      <c r="F48" s="11">
        <v>172.4</v>
      </c>
      <c r="G48" s="12">
        <v>101</v>
      </c>
    </row>
    <row r="49" spans="1:24" ht="12.95">
      <c r="A49" s="36" t="s">
        <v>90</v>
      </c>
      <c r="B49" s="11">
        <v>14</v>
      </c>
      <c r="C49" s="11">
        <v>18.8</v>
      </c>
      <c r="D49" s="11">
        <v>22</v>
      </c>
      <c r="E49" s="11">
        <v>27</v>
      </c>
      <c r="F49" s="11">
        <v>31.9</v>
      </c>
      <c r="G49" s="12">
        <v>23.5</v>
      </c>
    </row>
    <row r="50" spans="1:24" ht="12.95">
      <c r="A50" s="36" t="s">
        <v>92</v>
      </c>
      <c r="B50" s="11">
        <v>30.9</v>
      </c>
      <c r="C50" s="11">
        <v>47.7</v>
      </c>
      <c r="D50" s="11">
        <v>69.7</v>
      </c>
      <c r="E50" s="11">
        <v>80.400000000000006</v>
      </c>
      <c r="F50" s="11">
        <v>130.5</v>
      </c>
      <c r="G50" s="12">
        <v>76.5</v>
      </c>
    </row>
    <row r="51" spans="1:24" ht="12.95">
      <c r="A51" s="36" t="s">
        <v>56</v>
      </c>
      <c r="B51" s="11" t="s">
        <v>88</v>
      </c>
      <c r="C51" s="11" t="s">
        <v>88</v>
      </c>
      <c r="D51" s="11" t="s">
        <v>88</v>
      </c>
      <c r="E51" s="11" t="s">
        <v>88</v>
      </c>
      <c r="F51" s="11" t="s">
        <v>88</v>
      </c>
      <c r="G51" s="12">
        <v>5.3</v>
      </c>
    </row>
    <row r="52" spans="1:24" ht="12.95">
      <c r="A52" s="36" t="s">
        <v>93</v>
      </c>
      <c r="B52" s="11">
        <v>15.9</v>
      </c>
      <c r="C52" s="11">
        <v>27.4</v>
      </c>
      <c r="D52" s="11">
        <v>37.299999999999997</v>
      </c>
      <c r="E52" s="11">
        <v>49.3</v>
      </c>
      <c r="F52" s="11">
        <v>81.900000000000006</v>
      </c>
      <c r="G52" s="12">
        <v>45.3</v>
      </c>
    </row>
    <row r="53" spans="1:24" ht="12.95">
      <c r="A53" s="36" t="s">
        <v>94</v>
      </c>
      <c r="B53" s="11">
        <v>23.1</v>
      </c>
      <c r="C53" s="11">
        <v>33.700000000000003</v>
      </c>
      <c r="D53" s="11">
        <v>37.5</v>
      </c>
      <c r="E53" s="11">
        <v>48</v>
      </c>
      <c r="F53" s="11">
        <v>71.7</v>
      </c>
      <c r="G53" s="12">
        <v>44.9</v>
      </c>
    </row>
    <row r="54" spans="1:24" ht="12.95">
      <c r="A54" s="44" t="s">
        <v>95</v>
      </c>
      <c r="B54" s="15">
        <v>34.799999999999997</v>
      </c>
      <c r="C54" s="15">
        <v>51.4</v>
      </c>
      <c r="D54" s="15">
        <v>70.900000000000006</v>
      </c>
      <c r="E54" s="15">
        <v>89.8</v>
      </c>
      <c r="F54" s="15">
        <v>141.6</v>
      </c>
      <c r="G54" s="16">
        <v>82.6</v>
      </c>
    </row>
    <row r="55" spans="1:24" ht="12.95">
      <c r="A55" s="91" t="s">
        <v>99</v>
      </c>
      <c r="B55" s="113"/>
      <c r="C55" s="113"/>
      <c r="D55" s="113"/>
      <c r="E55" s="113"/>
      <c r="F55" s="113"/>
      <c r="G55" s="114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</row>
    <row r="56" spans="1:24" ht="27.95">
      <c r="A56" s="41" t="s">
        <v>64</v>
      </c>
      <c r="B56" s="41" t="s">
        <v>65</v>
      </c>
      <c r="C56" s="41" t="s">
        <v>66</v>
      </c>
      <c r="D56" s="41" t="s">
        <v>67</v>
      </c>
      <c r="E56" s="41" t="s">
        <v>68</v>
      </c>
      <c r="F56" s="41" t="s">
        <v>69</v>
      </c>
      <c r="G56" s="42" t="s">
        <v>70</v>
      </c>
    </row>
    <row r="57" spans="1:24" ht="26.1">
      <c r="A57" s="36" t="s">
        <v>72</v>
      </c>
      <c r="B57" s="11">
        <v>1.2</v>
      </c>
      <c r="C57" s="11">
        <v>1.7</v>
      </c>
      <c r="D57" s="11">
        <v>1.9</v>
      </c>
      <c r="E57" s="11">
        <v>2.2000000000000002</v>
      </c>
      <c r="F57" s="11">
        <v>2.5</v>
      </c>
      <c r="G57" s="12">
        <v>1.7</v>
      </c>
    </row>
    <row r="58" spans="1:24" ht="14.1">
      <c r="A58" s="37" t="s">
        <v>74</v>
      </c>
      <c r="B58" s="38" t="s">
        <v>75</v>
      </c>
      <c r="C58" s="39"/>
      <c r="D58" s="39"/>
      <c r="E58" s="39"/>
      <c r="F58" s="39"/>
      <c r="G58" s="40"/>
    </row>
    <row r="59" spans="1:24" ht="12.95">
      <c r="A59" s="36" t="s">
        <v>76</v>
      </c>
      <c r="B59" s="11">
        <v>42.4</v>
      </c>
      <c r="C59" s="11">
        <v>57</v>
      </c>
      <c r="D59" s="11">
        <v>66.8</v>
      </c>
      <c r="E59" s="11">
        <v>78.8</v>
      </c>
      <c r="F59" s="11">
        <v>88</v>
      </c>
      <c r="G59" s="12">
        <v>60.4</v>
      </c>
    </row>
    <row r="60" spans="1:24" ht="12.95">
      <c r="A60" s="36" t="s">
        <v>77</v>
      </c>
      <c r="B60" s="11">
        <v>8.3000000000000007</v>
      </c>
      <c r="C60" s="11">
        <v>12.2</v>
      </c>
      <c r="D60" s="11">
        <v>16.100000000000001</v>
      </c>
      <c r="E60" s="11">
        <v>15.7</v>
      </c>
      <c r="F60" s="11">
        <v>24.7</v>
      </c>
      <c r="G60" s="12">
        <v>13.4</v>
      </c>
    </row>
    <row r="61" spans="1:24" ht="12.95">
      <c r="A61" s="36" t="s">
        <v>84</v>
      </c>
      <c r="B61" s="11">
        <v>7.2</v>
      </c>
      <c r="C61" s="11">
        <v>11.8</v>
      </c>
      <c r="D61" s="11">
        <v>18.5</v>
      </c>
      <c r="E61" s="11">
        <v>19.399999999999999</v>
      </c>
      <c r="F61" s="11">
        <v>25.8</v>
      </c>
      <c r="G61" s="12">
        <v>14.1</v>
      </c>
    </row>
    <row r="62" spans="1:24" ht="12.95">
      <c r="A62" s="36" t="s">
        <v>85</v>
      </c>
      <c r="B62" s="11">
        <v>60.2</v>
      </c>
      <c r="C62" s="11">
        <v>70.599999999999994</v>
      </c>
      <c r="D62" s="11">
        <v>75.900000000000006</v>
      </c>
      <c r="E62" s="11">
        <v>82.3</v>
      </c>
      <c r="F62" s="11">
        <v>98.5</v>
      </c>
      <c r="G62" s="12">
        <v>72.599999999999994</v>
      </c>
    </row>
    <row r="63" spans="1:24" ht="12.95">
      <c r="A63" s="36" t="s">
        <v>86</v>
      </c>
      <c r="B63" s="11">
        <v>19.600000000000001</v>
      </c>
      <c r="C63" s="11">
        <v>35.6</v>
      </c>
      <c r="D63" s="11">
        <v>37.299999999999997</v>
      </c>
      <c r="E63" s="11">
        <v>51.7</v>
      </c>
      <c r="F63" s="11">
        <v>102.8</v>
      </c>
      <c r="G63" s="12">
        <v>38.6</v>
      </c>
    </row>
    <row r="64" spans="1:24" ht="12.95">
      <c r="A64" s="36" t="s">
        <v>87</v>
      </c>
      <c r="B64" s="11" t="s">
        <v>88</v>
      </c>
      <c r="C64" s="11" t="s">
        <v>88</v>
      </c>
      <c r="D64" s="11" t="s">
        <v>88</v>
      </c>
      <c r="E64" s="11" t="s">
        <v>88</v>
      </c>
      <c r="F64" s="11" t="s">
        <v>88</v>
      </c>
      <c r="G64" s="12">
        <v>11.4</v>
      </c>
    </row>
    <row r="65" spans="1:7" ht="12.95">
      <c r="A65" s="36" t="s">
        <v>89</v>
      </c>
      <c r="B65" s="11">
        <v>26.3</v>
      </c>
      <c r="C65" s="11">
        <v>55.8</v>
      </c>
      <c r="D65" s="11">
        <v>88.4</v>
      </c>
      <c r="E65" s="11">
        <v>101.7</v>
      </c>
      <c r="F65" s="11">
        <v>173.5</v>
      </c>
      <c r="G65" s="12">
        <v>70.099999999999994</v>
      </c>
    </row>
    <row r="66" spans="1:7" ht="12.95">
      <c r="A66" s="36" t="s">
        <v>90</v>
      </c>
      <c r="B66" s="11">
        <v>13.3</v>
      </c>
      <c r="C66" s="11">
        <v>17.2</v>
      </c>
      <c r="D66" s="11">
        <v>20.7</v>
      </c>
      <c r="E66" s="11">
        <v>28.9</v>
      </c>
      <c r="F66" s="11">
        <v>29.5</v>
      </c>
      <c r="G66" s="12">
        <v>19.600000000000001</v>
      </c>
    </row>
    <row r="67" spans="1:7" ht="12.95">
      <c r="A67" s="36" t="s">
        <v>92</v>
      </c>
      <c r="B67" s="11">
        <v>35.9</v>
      </c>
      <c r="C67" s="11">
        <v>53.4</v>
      </c>
      <c r="D67" s="11">
        <v>85.4</v>
      </c>
      <c r="E67" s="11">
        <v>89.3</v>
      </c>
      <c r="F67" s="11">
        <v>157.30000000000001</v>
      </c>
      <c r="G67" s="12">
        <v>68.7</v>
      </c>
    </row>
    <row r="68" spans="1:7" ht="12.95">
      <c r="A68" s="36" t="s">
        <v>56</v>
      </c>
      <c r="B68" s="11" t="s">
        <v>88</v>
      </c>
      <c r="C68" s="11" t="s">
        <v>88</v>
      </c>
      <c r="D68" s="11" t="s">
        <v>88</v>
      </c>
      <c r="E68" s="11" t="s">
        <v>88</v>
      </c>
      <c r="F68" s="11" t="s">
        <v>88</v>
      </c>
      <c r="G68" s="12">
        <v>1.1000000000000001</v>
      </c>
    </row>
    <row r="69" spans="1:7" ht="12.95">
      <c r="A69" s="36" t="s">
        <v>93</v>
      </c>
      <c r="B69" s="11">
        <v>13.6</v>
      </c>
      <c r="C69" s="11">
        <v>27.5</v>
      </c>
      <c r="D69" s="11">
        <v>44.8</v>
      </c>
      <c r="E69" s="11">
        <v>66.3</v>
      </c>
      <c r="F69" s="11">
        <v>103.1</v>
      </c>
      <c r="G69" s="12">
        <v>38.799999999999997</v>
      </c>
    </row>
    <row r="70" spans="1:7" ht="12.95">
      <c r="A70" s="36" t="s">
        <v>94</v>
      </c>
      <c r="B70" s="11">
        <v>19.8</v>
      </c>
      <c r="C70" s="11">
        <v>30.7</v>
      </c>
      <c r="D70" s="11">
        <v>45.2</v>
      </c>
      <c r="E70" s="11">
        <v>50.5</v>
      </c>
      <c r="F70" s="11">
        <v>93.2</v>
      </c>
      <c r="G70" s="12">
        <v>38.4</v>
      </c>
    </row>
    <row r="71" spans="1:7" ht="12.95">
      <c r="A71" s="44" t="s">
        <v>95</v>
      </c>
      <c r="B71" s="15">
        <v>31.6</v>
      </c>
      <c r="C71" s="15">
        <v>44.8</v>
      </c>
      <c r="D71" s="15">
        <v>59.3</v>
      </c>
      <c r="E71" s="15">
        <v>92.9</v>
      </c>
      <c r="F71" s="15">
        <v>148.30000000000001</v>
      </c>
      <c r="G71" s="16">
        <v>59.4</v>
      </c>
    </row>
    <row r="72" spans="1:7" ht="12.95">
      <c r="A72" s="91" t="s">
        <v>100</v>
      </c>
      <c r="B72" s="113"/>
      <c r="C72" s="113"/>
      <c r="D72" s="113"/>
      <c r="E72" s="113"/>
      <c r="F72" s="113"/>
      <c r="G72" s="114"/>
    </row>
    <row r="73" spans="1:7" ht="27.95">
      <c r="A73" s="41" t="s">
        <v>64</v>
      </c>
      <c r="B73" s="41" t="s">
        <v>65</v>
      </c>
      <c r="C73" s="41" t="s">
        <v>66</v>
      </c>
      <c r="D73" s="41" t="s">
        <v>67</v>
      </c>
      <c r="E73" s="41" t="s">
        <v>68</v>
      </c>
      <c r="F73" s="41" t="s">
        <v>69</v>
      </c>
      <c r="G73" s="42" t="s">
        <v>70</v>
      </c>
    </row>
    <row r="74" spans="1:7" ht="26.1">
      <c r="A74" s="36" t="s">
        <v>72</v>
      </c>
      <c r="B74" s="11">
        <v>1.1000000000000001</v>
      </c>
      <c r="C74" s="11">
        <v>1.6</v>
      </c>
      <c r="D74" s="11">
        <v>1.8</v>
      </c>
      <c r="E74" s="11">
        <v>2.1</v>
      </c>
      <c r="F74" s="11">
        <v>2.2999999999999998</v>
      </c>
      <c r="G74" s="12">
        <v>1.5</v>
      </c>
    </row>
    <row r="75" spans="1:7" ht="14.1">
      <c r="A75" s="37" t="s">
        <v>74</v>
      </c>
      <c r="B75" s="93" t="s">
        <v>75</v>
      </c>
      <c r="C75" s="109"/>
      <c r="D75" s="109"/>
      <c r="E75" s="109"/>
      <c r="F75" s="109"/>
      <c r="G75" s="115"/>
    </row>
    <row r="76" spans="1:7" ht="12.95">
      <c r="A76" s="36" t="s">
        <v>76</v>
      </c>
      <c r="B76" s="11">
        <v>38.4</v>
      </c>
      <c r="C76" s="11">
        <v>52.9</v>
      </c>
      <c r="D76" s="11">
        <v>69.599999999999994</v>
      </c>
      <c r="E76" s="11">
        <v>81</v>
      </c>
      <c r="F76" s="11">
        <v>90.3</v>
      </c>
      <c r="G76" s="12">
        <v>54.9</v>
      </c>
    </row>
    <row r="77" spans="1:7" ht="12.95">
      <c r="A77" s="36" t="s">
        <v>77</v>
      </c>
      <c r="B77" s="11">
        <v>5.0999999999999996</v>
      </c>
      <c r="C77" s="11">
        <v>8.8000000000000007</v>
      </c>
      <c r="D77" s="11">
        <v>12.5</v>
      </c>
      <c r="E77" s="11">
        <v>13.2</v>
      </c>
      <c r="F77" s="11">
        <v>15.2</v>
      </c>
      <c r="G77" s="12">
        <v>8.8000000000000007</v>
      </c>
    </row>
    <row r="78" spans="1:7" ht="12.95">
      <c r="A78" s="36" t="s">
        <v>84</v>
      </c>
      <c r="B78" s="11">
        <v>5.0999999999999996</v>
      </c>
      <c r="C78" s="11">
        <v>7.3</v>
      </c>
      <c r="D78" s="11">
        <v>11.7</v>
      </c>
      <c r="E78" s="11">
        <v>17.7</v>
      </c>
      <c r="F78" s="11">
        <v>16.399999999999999</v>
      </c>
      <c r="G78" s="12">
        <v>8.6999999999999993</v>
      </c>
    </row>
    <row r="79" spans="1:7" ht="12.95">
      <c r="A79" s="36" t="s">
        <v>85</v>
      </c>
      <c r="B79" s="11">
        <v>56.7</v>
      </c>
      <c r="C79" s="11">
        <v>66.099999999999994</v>
      </c>
      <c r="D79" s="11">
        <v>69</v>
      </c>
      <c r="E79" s="11">
        <v>84.5</v>
      </c>
      <c r="F79" s="11">
        <v>92.9</v>
      </c>
      <c r="G79" s="12">
        <v>66</v>
      </c>
    </row>
    <row r="80" spans="1:7" ht="12.95">
      <c r="A80" s="36" t="s">
        <v>86</v>
      </c>
      <c r="B80" s="11">
        <v>18</v>
      </c>
      <c r="C80" s="11">
        <v>26.1</v>
      </c>
      <c r="D80" s="11">
        <v>38.5</v>
      </c>
      <c r="E80" s="11">
        <v>59.9</v>
      </c>
      <c r="F80" s="11">
        <v>66</v>
      </c>
      <c r="G80" s="12">
        <v>30.5</v>
      </c>
    </row>
    <row r="81" spans="1:7" ht="12.95">
      <c r="A81" s="36" t="s">
        <v>87</v>
      </c>
      <c r="B81" s="11" t="s">
        <v>88</v>
      </c>
      <c r="C81" s="11" t="s">
        <v>88</v>
      </c>
      <c r="D81" s="11" t="s">
        <v>88</v>
      </c>
      <c r="E81" s="11" t="s">
        <v>88</v>
      </c>
      <c r="F81" s="11" t="s">
        <v>88</v>
      </c>
      <c r="G81" s="12">
        <v>10.5</v>
      </c>
    </row>
    <row r="82" spans="1:7" ht="12.95">
      <c r="A82" s="36" t="s">
        <v>89</v>
      </c>
      <c r="B82" s="11">
        <v>18.399999999999999</v>
      </c>
      <c r="C82" s="11">
        <v>34.5</v>
      </c>
      <c r="D82" s="11">
        <v>53.5</v>
      </c>
      <c r="E82" s="11">
        <v>84.9</v>
      </c>
      <c r="F82" s="11">
        <v>134.69999999999999</v>
      </c>
      <c r="G82" s="12">
        <v>41.1</v>
      </c>
    </row>
    <row r="83" spans="1:7" ht="12.95">
      <c r="A83" s="36" t="s">
        <v>90</v>
      </c>
      <c r="B83" s="11">
        <v>11.8</v>
      </c>
      <c r="C83" s="11">
        <v>16.7</v>
      </c>
      <c r="D83" s="11">
        <v>19.100000000000001</v>
      </c>
      <c r="E83" s="11">
        <v>22.4</v>
      </c>
      <c r="F83" s="11">
        <v>25.2</v>
      </c>
      <c r="G83" s="12">
        <v>16.2</v>
      </c>
    </row>
    <row r="84" spans="1:7" ht="12.95">
      <c r="A84" s="36" t="s">
        <v>92</v>
      </c>
      <c r="B84" s="11">
        <v>21.9</v>
      </c>
      <c r="C84" s="11">
        <v>42</v>
      </c>
      <c r="D84" s="11">
        <v>66.2</v>
      </c>
      <c r="E84" s="11">
        <v>87.2</v>
      </c>
      <c r="F84" s="11">
        <v>118.4</v>
      </c>
      <c r="G84" s="12">
        <v>46.5</v>
      </c>
    </row>
    <row r="85" spans="1:7" ht="12.95">
      <c r="A85" s="36" t="s">
        <v>56</v>
      </c>
      <c r="B85" s="11" t="s">
        <v>88</v>
      </c>
      <c r="C85" s="11" t="s">
        <v>88</v>
      </c>
      <c r="D85" s="11" t="s">
        <v>88</v>
      </c>
      <c r="E85" s="11" t="s">
        <v>88</v>
      </c>
      <c r="F85" s="11" t="s">
        <v>88</v>
      </c>
      <c r="G85" s="12">
        <v>1</v>
      </c>
    </row>
    <row r="86" spans="1:7" ht="12.95">
      <c r="A86" s="36" t="s">
        <v>93</v>
      </c>
      <c r="B86" s="11">
        <v>9.1999999999999993</v>
      </c>
      <c r="C86" s="11">
        <v>18.5</v>
      </c>
      <c r="D86" s="11">
        <v>35</v>
      </c>
      <c r="E86" s="11">
        <v>52.2</v>
      </c>
      <c r="F86" s="11">
        <v>53.2</v>
      </c>
      <c r="G86" s="12">
        <v>22.9</v>
      </c>
    </row>
    <row r="87" spans="1:7" ht="12.95">
      <c r="A87" s="36" t="s">
        <v>94</v>
      </c>
      <c r="B87" s="11">
        <v>20</v>
      </c>
      <c r="C87" s="11">
        <v>31</v>
      </c>
      <c r="D87" s="11">
        <v>43.7</v>
      </c>
      <c r="E87" s="11">
        <v>83</v>
      </c>
      <c r="F87" s="11">
        <v>96.8</v>
      </c>
      <c r="G87" s="12">
        <v>37.200000000000003</v>
      </c>
    </row>
    <row r="88" spans="1:7" ht="12.95">
      <c r="A88" s="44" t="s">
        <v>95</v>
      </c>
      <c r="B88" s="15">
        <v>27.6</v>
      </c>
      <c r="C88" s="15">
        <v>49.4</v>
      </c>
      <c r="D88" s="15">
        <v>61.8</v>
      </c>
      <c r="E88" s="15">
        <v>126.2</v>
      </c>
      <c r="F88" s="15">
        <v>193.8</v>
      </c>
      <c r="G88" s="16">
        <v>56.9</v>
      </c>
    </row>
    <row r="89" spans="1:7" ht="12.95">
      <c r="A89" s="110" t="s">
        <v>101</v>
      </c>
      <c r="B89" s="111"/>
      <c r="C89" s="111"/>
      <c r="D89" s="111"/>
      <c r="E89" s="111"/>
      <c r="F89" s="111"/>
      <c r="G89" s="112"/>
    </row>
    <row r="93" spans="1:7" ht="15.95">
      <c r="A93" s="48"/>
      <c r="B93" s="48"/>
      <c r="C93" s="48"/>
      <c r="D93" s="48"/>
      <c r="E93" s="48"/>
      <c r="F93" s="48"/>
      <c r="G93" s="48"/>
    </row>
    <row r="94" spans="1:7" ht="15.95">
      <c r="G94" s="48"/>
    </row>
    <row r="95" spans="1:7" ht="12.95">
      <c r="G95" s="49"/>
    </row>
    <row r="96" spans="1:7" ht="12.95">
      <c r="G96" s="49"/>
    </row>
    <row r="97" spans="7:7" ht="12.95">
      <c r="G97" s="49"/>
    </row>
    <row r="98" spans="7:7" ht="12.95">
      <c r="G98" s="49"/>
    </row>
    <row r="99" spans="7:7" ht="12.95">
      <c r="G99" s="49"/>
    </row>
    <row r="100" spans="7:7" ht="12.95">
      <c r="G100" s="49"/>
    </row>
    <row r="101" spans="7:7" ht="12.95">
      <c r="G101" s="49"/>
    </row>
    <row r="102" spans="7:7" ht="12.95">
      <c r="G102" s="49"/>
    </row>
    <row r="103" spans="7:7" ht="12.95">
      <c r="G103" s="49"/>
    </row>
    <row r="104" spans="7:7" ht="12.95">
      <c r="G104" s="49"/>
    </row>
    <row r="105" spans="7:7" ht="12.95">
      <c r="G105" s="49"/>
    </row>
    <row r="106" spans="7:7" ht="12.95">
      <c r="G106" s="49"/>
    </row>
    <row r="107" spans="7:7" ht="12.95">
      <c r="G107" s="49"/>
    </row>
    <row r="108" spans="7:7" ht="12.95">
      <c r="G108" s="49"/>
    </row>
    <row r="109" spans="7:7" ht="12.95">
      <c r="G109" s="49"/>
    </row>
    <row r="110" spans="7:7" ht="12.95">
      <c r="G110" s="49"/>
    </row>
  </sheetData>
  <mergeCells count="13">
    <mergeCell ref="A89:G89"/>
    <mergeCell ref="A1:N1"/>
    <mergeCell ref="A3:G3"/>
    <mergeCell ref="I3:N3"/>
    <mergeCell ref="A4:G4"/>
    <mergeCell ref="I6:N6"/>
    <mergeCell ref="I8:N8"/>
    <mergeCell ref="I25:N25"/>
    <mergeCell ref="A21:G21"/>
    <mergeCell ref="A38:G38"/>
    <mergeCell ref="A55:G55"/>
    <mergeCell ref="A72:G72"/>
    <mergeCell ref="B75:G75"/>
  </mergeCells>
  <hyperlinks>
    <hyperlink ref="I6" r:id="rId1" xr:uid="{00000000-0004-0000-0100-000000000000}"/>
    <hyperlink ref="I25" r:id="rId2" xr:uid="{00000000-0004-0000-0100-000001000000}"/>
    <hyperlink ref="A89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6"/>
  <sheetViews>
    <sheetView topLeftCell="A11" workbookViewId="0">
      <selection activeCell="B3" sqref="B3"/>
    </sheetView>
  </sheetViews>
  <sheetFormatPr defaultColWidth="12.7109375" defaultRowHeight="15.75" customHeight="1"/>
  <cols>
    <col min="1" max="1" width="16.140625" customWidth="1"/>
    <col min="2" max="2" width="15" customWidth="1"/>
    <col min="3" max="3" width="13.85546875" customWidth="1"/>
    <col min="4" max="4" width="15.85546875" customWidth="1"/>
    <col min="5" max="5" width="12.42578125" customWidth="1"/>
    <col min="6" max="6" width="16.7109375" customWidth="1"/>
    <col min="7" max="7" width="12.42578125" customWidth="1"/>
    <col min="8" max="8" width="9.140625" customWidth="1"/>
    <col min="9" max="9" width="9.28515625" customWidth="1"/>
    <col min="10" max="10" width="9.7109375" customWidth="1"/>
    <col min="11" max="11" width="15" customWidth="1"/>
    <col min="12" max="12" width="19.7109375" customWidth="1"/>
  </cols>
  <sheetData>
    <row r="1" spans="1:11" ht="26.25" customHeight="1">
      <c r="A1" s="94" t="s">
        <v>102</v>
      </c>
      <c r="B1" s="113"/>
      <c r="C1" s="113"/>
      <c r="D1" s="113"/>
      <c r="E1" s="113"/>
      <c r="F1" s="114"/>
      <c r="G1" s="45"/>
      <c r="H1" s="50"/>
      <c r="I1" s="50"/>
      <c r="J1" s="50"/>
      <c r="K1" s="50"/>
    </row>
    <row r="2" spans="1:11" ht="28.5" customHeight="1">
      <c r="A2" s="51" t="s">
        <v>103</v>
      </c>
      <c r="B2" s="52" t="s">
        <v>104</v>
      </c>
      <c r="C2" s="52" t="s">
        <v>105</v>
      </c>
      <c r="D2" s="52" t="s">
        <v>106</v>
      </c>
      <c r="E2" s="52" t="s">
        <v>107</v>
      </c>
      <c r="F2" s="53" t="s">
        <v>108</v>
      </c>
      <c r="G2" s="45"/>
      <c r="H2" s="50"/>
      <c r="I2" s="50"/>
      <c r="J2" s="50"/>
      <c r="K2" s="50"/>
    </row>
    <row r="3" spans="1:11">
      <c r="A3" s="54" t="s">
        <v>109</v>
      </c>
      <c r="B3" s="23">
        <v>77989</v>
      </c>
      <c r="C3" s="11" t="s">
        <v>110</v>
      </c>
      <c r="D3" s="23">
        <f>46620*12/11</f>
        <v>50858.181818181816</v>
      </c>
      <c r="E3" s="23">
        <f>9700*12/11</f>
        <v>10581.818181818182</v>
      </c>
      <c r="F3" s="24">
        <f>15030*12/11</f>
        <v>16396.363636363636</v>
      </c>
      <c r="G3" s="45"/>
      <c r="H3" s="50"/>
      <c r="I3" s="50"/>
      <c r="J3" s="50"/>
      <c r="K3" s="50"/>
    </row>
    <row r="4" spans="1:11">
      <c r="A4" s="54">
        <v>2024</v>
      </c>
      <c r="B4" s="23">
        <v>71920</v>
      </c>
      <c r="C4" s="11" t="s">
        <v>110</v>
      </c>
      <c r="D4" s="23">
        <v>49780</v>
      </c>
      <c r="E4" s="23">
        <v>8410</v>
      </c>
      <c r="F4" s="24">
        <v>13710</v>
      </c>
      <c r="G4" s="45"/>
      <c r="H4" s="50"/>
      <c r="I4" s="50"/>
      <c r="J4" s="50"/>
      <c r="K4" s="50"/>
    </row>
    <row r="5" spans="1:11">
      <c r="A5" s="54">
        <v>2023</v>
      </c>
      <c r="B5" s="23">
        <v>66650</v>
      </c>
      <c r="C5" s="11">
        <v>25</v>
      </c>
      <c r="D5" s="23">
        <v>45820</v>
      </c>
      <c r="E5" s="23">
        <v>6170</v>
      </c>
      <c r="F5" s="24">
        <v>11040</v>
      </c>
      <c r="G5" s="45"/>
      <c r="H5" s="50"/>
      <c r="I5" s="50"/>
      <c r="J5" s="50"/>
      <c r="K5" s="50"/>
    </row>
    <row r="6" spans="1:11">
      <c r="A6" s="54">
        <v>2022</v>
      </c>
      <c r="B6" s="23">
        <v>60000</v>
      </c>
      <c r="C6" s="11">
        <v>19</v>
      </c>
      <c r="D6" s="11" t="s">
        <v>110</v>
      </c>
      <c r="E6" s="11" t="s">
        <v>110</v>
      </c>
      <c r="F6" s="12" t="s">
        <v>110</v>
      </c>
      <c r="G6" s="45"/>
      <c r="H6" s="50"/>
      <c r="I6" s="50"/>
      <c r="J6" s="50"/>
      <c r="K6" s="50"/>
    </row>
    <row r="7" spans="1:11">
      <c r="A7" s="54">
        <v>2021</v>
      </c>
      <c r="B7" s="23">
        <v>52000</v>
      </c>
      <c r="C7" s="11">
        <v>13.5</v>
      </c>
      <c r="D7" s="11" t="s">
        <v>110</v>
      </c>
      <c r="E7" s="11" t="s">
        <v>110</v>
      </c>
      <c r="F7" s="12" t="s">
        <v>110</v>
      </c>
      <c r="H7" s="50"/>
      <c r="I7" s="50"/>
      <c r="J7" s="50"/>
      <c r="K7" s="50"/>
    </row>
    <row r="8" spans="1:11" ht="15.75" customHeight="1">
      <c r="A8" s="54">
        <v>2020</v>
      </c>
      <c r="B8" s="23">
        <v>30000</v>
      </c>
      <c r="C8" s="11">
        <v>9</v>
      </c>
      <c r="D8" s="11" t="s">
        <v>110</v>
      </c>
      <c r="E8" s="11" t="s">
        <v>110</v>
      </c>
      <c r="F8" s="12" t="s">
        <v>110</v>
      </c>
    </row>
    <row r="9" spans="1:11" ht="15.75" customHeight="1">
      <c r="A9" s="54">
        <v>2019</v>
      </c>
      <c r="B9" s="23">
        <v>44000</v>
      </c>
      <c r="C9" s="11">
        <v>2</v>
      </c>
      <c r="D9" s="11" t="s">
        <v>110</v>
      </c>
      <c r="E9" s="11" t="s">
        <v>110</v>
      </c>
      <c r="F9" s="12" t="s">
        <v>110</v>
      </c>
    </row>
    <row r="10" spans="1:11" ht="15.75" customHeight="1">
      <c r="A10" s="54">
        <v>2018</v>
      </c>
      <c r="B10" s="23">
        <v>42000</v>
      </c>
      <c r="C10" s="11">
        <v>0.5</v>
      </c>
      <c r="D10" s="11" t="s">
        <v>110</v>
      </c>
      <c r="E10" s="11" t="s">
        <v>110</v>
      </c>
      <c r="F10" s="12" t="s">
        <v>110</v>
      </c>
    </row>
    <row r="11" spans="1:11" ht="15.75" customHeight="1">
      <c r="A11" s="54">
        <v>2017</v>
      </c>
      <c r="B11" s="23">
        <v>40000</v>
      </c>
      <c r="C11" s="11">
        <v>0.4</v>
      </c>
      <c r="D11" s="11" t="s">
        <v>110</v>
      </c>
      <c r="E11" s="11" t="s">
        <v>110</v>
      </c>
      <c r="F11" s="12" t="s">
        <v>110</v>
      </c>
    </row>
    <row r="12" spans="1:11" ht="15.75" customHeight="1">
      <c r="A12" s="54">
        <v>2016</v>
      </c>
      <c r="B12" s="23">
        <v>39500</v>
      </c>
      <c r="C12" s="11">
        <v>0.3</v>
      </c>
      <c r="D12" s="11" t="s">
        <v>110</v>
      </c>
      <c r="E12" s="11" t="s">
        <v>110</v>
      </c>
      <c r="F12" s="12" t="s">
        <v>110</v>
      </c>
    </row>
    <row r="13" spans="1:11" ht="15.75" customHeight="1">
      <c r="A13" s="54">
        <v>2015</v>
      </c>
      <c r="B13" s="23">
        <v>39100</v>
      </c>
      <c r="C13" s="11">
        <v>0.2</v>
      </c>
      <c r="D13" s="11" t="s">
        <v>110</v>
      </c>
      <c r="E13" s="11" t="s">
        <v>110</v>
      </c>
      <c r="F13" s="12" t="s">
        <v>110</v>
      </c>
    </row>
    <row r="14" spans="1:11" ht="16.5" customHeight="1">
      <c r="A14" s="55">
        <v>2014</v>
      </c>
      <c r="B14" s="26">
        <v>38900</v>
      </c>
      <c r="C14" s="15">
        <v>0.1</v>
      </c>
      <c r="D14" s="15" t="s">
        <v>110</v>
      </c>
      <c r="E14" s="15" t="s">
        <v>110</v>
      </c>
      <c r="F14" s="16" t="s">
        <v>110</v>
      </c>
    </row>
    <row r="15" spans="1:11" ht="89.25" customHeight="1">
      <c r="A15" s="95" t="s">
        <v>111</v>
      </c>
      <c r="B15" s="116"/>
      <c r="C15" s="116"/>
      <c r="D15" s="116"/>
      <c r="E15" s="116"/>
      <c r="F15" s="117"/>
    </row>
    <row r="16" spans="1:11" ht="15.75" customHeight="1">
      <c r="A16" s="45"/>
      <c r="E16" s="56"/>
    </row>
    <row r="17" spans="1:12">
      <c r="A17" s="96" t="s">
        <v>112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2"/>
    </row>
    <row r="18" spans="1:12" ht="60">
      <c r="A18" s="57" t="s">
        <v>113</v>
      </c>
      <c r="B18" s="58" t="s">
        <v>104</v>
      </c>
      <c r="C18" s="59" t="s">
        <v>114</v>
      </c>
      <c r="D18" s="59" t="s">
        <v>115</v>
      </c>
      <c r="E18" s="59" t="s">
        <v>116</v>
      </c>
      <c r="F18" s="59" t="s">
        <v>117</v>
      </c>
      <c r="G18" s="59" t="s">
        <v>118</v>
      </c>
      <c r="H18" s="59" t="s">
        <v>119</v>
      </c>
      <c r="I18" s="59" t="s">
        <v>120</v>
      </c>
      <c r="J18" s="59" t="s">
        <v>121</v>
      </c>
      <c r="K18" s="59" t="s">
        <v>122</v>
      </c>
      <c r="L18" s="60" t="s">
        <v>123</v>
      </c>
    </row>
    <row r="19" spans="1:12" ht="15.75" customHeight="1">
      <c r="A19" s="13" t="s">
        <v>124</v>
      </c>
      <c r="B19" s="23">
        <v>8364.92</v>
      </c>
      <c r="C19" s="23">
        <v>5699.73</v>
      </c>
      <c r="D19" s="23">
        <v>480.35</v>
      </c>
      <c r="E19" s="23">
        <v>2903.24</v>
      </c>
      <c r="F19" s="23">
        <v>703.11</v>
      </c>
      <c r="G19" s="23">
        <v>796.17</v>
      </c>
      <c r="H19" s="23">
        <v>783.31</v>
      </c>
      <c r="I19" s="23">
        <v>0.47</v>
      </c>
      <c r="J19" s="23">
        <v>33.08</v>
      </c>
      <c r="K19" s="23">
        <v>143.69</v>
      </c>
      <c r="L19" s="24">
        <v>2521.5</v>
      </c>
    </row>
    <row r="20" spans="1:12" ht="15.75" customHeight="1">
      <c r="A20" s="13" t="s">
        <v>125</v>
      </c>
      <c r="B20" s="23">
        <v>8115.64</v>
      </c>
      <c r="C20" s="23">
        <v>5277.89</v>
      </c>
      <c r="D20" s="23">
        <v>455.96</v>
      </c>
      <c r="E20" s="23">
        <v>2811.36</v>
      </c>
      <c r="F20" s="23">
        <v>627.22</v>
      </c>
      <c r="G20" s="23">
        <v>751.13</v>
      </c>
      <c r="H20" s="23">
        <v>607.76</v>
      </c>
      <c r="I20" s="23">
        <v>1.51</v>
      </c>
      <c r="J20" s="23">
        <v>22.95</v>
      </c>
      <c r="K20" s="23">
        <v>158.55000000000001</v>
      </c>
      <c r="L20" s="24">
        <v>2679.2</v>
      </c>
    </row>
    <row r="21" spans="1:12" ht="15.75" customHeight="1">
      <c r="A21" s="13" t="s">
        <v>126</v>
      </c>
      <c r="B21" s="23">
        <v>8435.7000000000007</v>
      </c>
      <c r="C21" s="23">
        <v>5425.39</v>
      </c>
      <c r="D21" s="23">
        <v>392</v>
      </c>
      <c r="E21" s="23">
        <v>2957.32</v>
      </c>
      <c r="F21" s="23">
        <v>625.58000000000004</v>
      </c>
      <c r="G21" s="23">
        <v>797.43</v>
      </c>
      <c r="H21" s="23">
        <v>638.17999999999995</v>
      </c>
      <c r="I21" s="23">
        <v>2.19</v>
      </c>
      <c r="J21" s="23">
        <v>12.69</v>
      </c>
      <c r="K21" s="23">
        <v>170.12</v>
      </c>
      <c r="L21" s="24">
        <v>2840.2</v>
      </c>
    </row>
    <row r="22" spans="1:12" ht="15.75" customHeight="1">
      <c r="A22" s="13" t="s">
        <v>127</v>
      </c>
      <c r="B22" s="23">
        <v>9026.7999999999993</v>
      </c>
      <c r="C22" s="23">
        <v>5674.28</v>
      </c>
      <c r="D22" s="23">
        <v>381.06</v>
      </c>
      <c r="E22" s="23">
        <v>3029.59</v>
      </c>
      <c r="F22" s="23">
        <v>680.64</v>
      </c>
      <c r="G22" s="23">
        <v>872.8</v>
      </c>
      <c r="H22" s="23">
        <v>687.92</v>
      </c>
      <c r="I22" s="23">
        <v>2.0299999999999998</v>
      </c>
      <c r="J22" s="23">
        <v>20.239999999999998</v>
      </c>
      <c r="K22" s="23">
        <v>228.61</v>
      </c>
      <c r="L22" s="24">
        <v>3123.9</v>
      </c>
    </row>
    <row r="23" spans="1:12" ht="15.75" customHeight="1">
      <c r="A23" s="13" t="s">
        <v>128</v>
      </c>
      <c r="B23" s="23">
        <v>9704.74</v>
      </c>
      <c r="C23" s="23">
        <v>6152.24</v>
      </c>
      <c r="D23" s="23">
        <v>358.71</v>
      </c>
      <c r="E23" s="23">
        <v>3198.6</v>
      </c>
      <c r="F23" s="23">
        <v>700.9</v>
      </c>
      <c r="G23" s="23">
        <v>961.41</v>
      </c>
      <c r="H23" s="23">
        <v>887.66</v>
      </c>
      <c r="I23" s="23">
        <v>2.46</v>
      </c>
      <c r="J23" s="23">
        <v>42.49</v>
      </c>
      <c r="K23" s="23">
        <v>273</v>
      </c>
      <c r="L23" s="24">
        <v>3279.5</v>
      </c>
    </row>
    <row r="24" spans="1:12" ht="15.75" customHeight="1">
      <c r="A24" s="13" t="s">
        <v>129</v>
      </c>
      <c r="B24" s="23">
        <v>9868.6200000000008</v>
      </c>
      <c r="C24" s="23">
        <v>6475.03</v>
      </c>
      <c r="D24" s="23">
        <v>379.11</v>
      </c>
      <c r="E24" s="23">
        <v>3176.77</v>
      </c>
      <c r="F24" s="23">
        <v>673.44</v>
      </c>
      <c r="G24" s="23">
        <v>1111.06</v>
      </c>
      <c r="H24" s="23">
        <v>1102.8499999999999</v>
      </c>
      <c r="I24" s="23">
        <v>4.32</v>
      </c>
      <c r="J24" s="23">
        <v>27.49</v>
      </c>
      <c r="K24" s="23">
        <v>293.79000000000002</v>
      </c>
      <c r="L24" s="24">
        <v>3099.8</v>
      </c>
    </row>
    <row r="25" spans="1:12" ht="15.75" customHeight="1">
      <c r="A25" s="13" t="s">
        <v>130</v>
      </c>
      <c r="B25" s="23">
        <v>11313.79</v>
      </c>
      <c r="C25" s="23">
        <v>7731.95</v>
      </c>
      <c r="D25" s="23">
        <v>387.22</v>
      </c>
      <c r="E25" s="23">
        <v>3266.91</v>
      </c>
      <c r="F25" s="23">
        <v>679.02</v>
      </c>
      <c r="G25" s="23">
        <v>1159.79</v>
      </c>
      <c r="H25" s="23">
        <v>1251.3900000000001</v>
      </c>
      <c r="I25" s="23">
        <v>72.23</v>
      </c>
      <c r="J25" s="23">
        <v>915.38</v>
      </c>
      <c r="K25" s="23">
        <v>349.74</v>
      </c>
      <c r="L25" s="24">
        <v>3232.1</v>
      </c>
    </row>
    <row r="26" spans="1:12" ht="15.75" customHeight="1">
      <c r="A26" s="13" t="s">
        <v>131</v>
      </c>
      <c r="B26" s="23">
        <v>13456.05</v>
      </c>
      <c r="C26" s="23">
        <v>9659.49</v>
      </c>
      <c r="D26" s="23">
        <v>418.06</v>
      </c>
      <c r="E26" s="23">
        <v>3318.19</v>
      </c>
      <c r="F26" s="23">
        <v>693.11</v>
      </c>
      <c r="G26" s="23">
        <v>999.38</v>
      </c>
      <c r="H26" s="23">
        <v>1743.91</v>
      </c>
      <c r="I26" s="23">
        <v>122.41</v>
      </c>
      <c r="J26" s="23">
        <v>2364.44</v>
      </c>
      <c r="K26" s="23">
        <v>379.77</v>
      </c>
      <c r="L26" s="24">
        <v>3416.8</v>
      </c>
    </row>
    <row r="27" spans="1:12" ht="15.75" customHeight="1">
      <c r="A27" s="13" t="s">
        <v>132</v>
      </c>
      <c r="B27" s="23">
        <v>13779.8</v>
      </c>
      <c r="C27" s="23">
        <v>10358.77</v>
      </c>
      <c r="D27" s="23">
        <v>424.93</v>
      </c>
      <c r="E27" s="23">
        <v>3310.84</v>
      </c>
      <c r="F27" s="23">
        <v>684.28</v>
      </c>
      <c r="G27" s="23">
        <v>1163.54</v>
      </c>
      <c r="H27" s="23">
        <v>1952.99</v>
      </c>
      <c r="I27" s="23">
        <v>161.15</v>
      </c>
      <c r="J27" s="23">
        <v>2661.04</v>
      </c>
      <c r="K27" s="23">
        <v>442.43</v>
      </c>
      <c r="L27" s="24">
        <v>2978.6</v>
      </c>
    </row>
    <row r="28" spans="1:12" ht="15.75" customHeight="1">
      <c r="A28" s="13" t="s">
        <v>133</v>
      </c>
      <c r="B28" s="23">
        <v>14410.55</v>
      </c>
      <c r="C28" s="23">
        <v>10900.47</v>
      </c>
      <c r="D28" s="23">
        <v>424.81</v>
      </c>
      <c r="E28" s="23">
        <v>3268.26</v>
      </c>
      <c r="F28" s="23">
        <v>680.01</v>
      </c>
      <c r="G28" s="23">
        <v>1180.72</v>
      </c>
      <c r="H28" s="23">
        <v>2251.61</v>
      </c>
      <c r="I28" s="23">
        <v>163.93</v>
      </c>
      <c r="J28" s="23">
        <v>2931.13</v>
      </c>
      <c r="K28" s="23">
        <v>502.29</v>
      </c>
      <c r="L28" s="24">
        <v>3007.8</v>
      </c>
    </row>
    <row r="29" spans="1:12" ht="15.75" customHeight="1">
      <c r="A29" s="13" t="s">
        <v>134</v>
      </c>
      <c r="B29" s="23">
        <v>14366.6</v>
      </c>
      <c r="C29" s="23">
        <v>10746.71</v>
      </c>
      <c r="D29" s="23">
        <v>446.5</v>
      </c>
      <c r="E29" s="23">
        <v>3261.86</v>
      </c>
      <c r="F29" s="23">
        <v>674.05</v>
      </c>
      <c r="G29" s="23">
        <v>1058.82</v>
      </c>
      <c r="H29" s="23">
        <v>2020.86</v>
      </c>
      <c r="I29" s="23">
        <v>176.19</v>
      </c>
      <c r="J29" s="23">
        <v>3108.43</v>
      </c>
      <c r="K29" s="23">
        <v>540.59</v>
      </c>
      <c r="L29" s="24">
        <v>3079.3</v>
      </c>
    </row>
    <row r="30" spans="1:12" ht="15.75" customHeight="1">
      <c r="A30" s="13" t="s">
        <v>135</v>
      </c>
      <c r="B30" s="23">
        <v>14187.25</v>
      </c>
      <c r="C30" s="23">
        <v>10175.299999999999</v>
      </c>
      <c r="D30" s="23">
        <v>430.93</v>
      </c>
      <c r="E30" s="23">
        <v>2415.4499999999998</v>
      </c>
      <c r="F30" s="23">
        <v>576.30999999999995</v>
      </c>
      <c r="G30" s="23">
        <v>1017.59</v>
      </c>
      <c r="H30" s="23">
        <v>2325.81</v>
      </c>
      <c r="I30" s="23">
        <v>177.06</v>
      </c>
      <c r="J30" s="23">
        <v>3232.15</v>
      </c>
      <c r="K30" s="23">
        <v>612.73</v>
      </c>
      <c r="L30" s="24">
        <v>3399.21</v>
      </c>
    </row>
    <row r="31" spans="1:12" ht="15.75" customHeight="1">
      <c r="A31" s="13" t="s">
        <v>136</v>
      </c>
      <c r="B31" s="23">
        <v>12669.6</v>
      </c>
      <c r="C31" s="23">
        <v>8502.9500000000007</v>
      </c>
      <c r="D31" s="23">
        <v>261.94</v>
      </c>
      <c r="E31" s="23">
        <v>1035.45</v>
      </c>
      <c r="F31" s="23">
        <v>246.31</v>
      </c>
      <c r="G31" s="23">
        <v>116.65</v>
      </c>
      <c r="H31" s="23">
        <v>2639.52</v>
      </c>
      <c r="I31" s="23">
        <v>188.95</v>
      </c>
      <c r="J31" s="23">
        <v>4014.12</v>
      </c>
      <c r="K31" s="23">
        <v>635.01</v>
      </c>
      <c r="L31" s="24">
        <v>3531.65</v>
      </c>
    </row>
    <row r="32" spans="1:12" ht="15.75" customHeight="1">
      <c r="A32" s="13" t="s">
        <v>137</v>
      </c>
      <c r="B32" s="23">
        <v>14152.89</v>
      </c>
      <c r="C32" s="23">
        <v>10004.35</v>
      </c>
      <c r="D32" s="23">
        <v>421.6</v>
      </c>
      <c r="E32" s="23">
        <v>2148</v>
      </c>
      <c r="F32" s="23">
        <v>444.2</v>
      </c>
      <c r="G32" s="23">
        <v>691.78</v>
      </c>
      <c r="H32" s="23">
        <v>2284.48</v>
      </c>
      <c r="I32" s="23">
        <v>184.02</v>
      </c>
      <c r="J32" s="23">
        <v>3830.27</v>
      </c>
      <c r="K32" s="23">
        <v>665.31</v>
      </c>
      <c r="L32" s="24">
        <v>3483.24</v>
      </c>
    </row>
    <row r="33" spans="1:12" ht="15.75" customHeight="1">
      <c r="A33" s="13" t="s">
        <v>138</v>
      </c>
      <c r="B33" s="23">
        <v>15126.7</v>
      </c>
      <c r="C33" s="23">
        <v>10953.92</v>
      </c>
      <c r="D33" s="23">
        <v>602.25</v>
      </c>
      <c r="E33" s="23">
        <v>2470.59</v>
      </c>
      <c r="F33" s="23">
        <v>594.85</v>
      </c>
      <c r="G33" s="23">
        <v>810.42</v>
      </c>
      <c r="H33" s="23">
        <v>2314.8000000000002</v>
      </c>
      <c r="I33" s="23">
        <v>188.72</v>
      </c>
      <c r="J33" s="23">
        <v>3972.27</v>
      </c>
      <c r="K33" s="23">
        <v>682.66</v>
      </c>
      <c r="L33" s="24">
        <v>3490.12</v>
      </c>
    </row>
    <row r="34" spans="1:12" ht="15.75" customHeight="1">
      <c r="A34" s="13" t="s">
        <v>139</v>
      </c>
      <c r="B34" s="23">
        <v>15628.98</v>
      </c>
      <c r="C34" s="23">
        <v>11543.03</v>
      </c>
      <c r="D34" s="23">
        <v>663.76</v>
      </c>
      <c r="E34" s="23">
        <v>2488.7800000000002</v>
      </c>
      <c r="F34" s="23">
        <v>628.15</v>
      </c>
      <c r="G34" s="23">
        <v>865.28</v>
      </c>
      <c r="H34" s="23">
        <v>2373.08</v>
      </c>
      <c r="I34" s="23">
        <v>167.27</v>
      </c>
      <c r="J34" s="23">
        <v>4356.71</v>
      </c>
      <c r="K34" s="23">
        <v>755.59</v>
      </c>
      <c r="L34" s="24">
        <v>3330.36</v>
      </c>
    </row>
    <row r="35" spans="1:12" ht="15.75" customHeight="1">
      <c r="A35" s="13" t="s">
        <v>140</v>
      </c>
      <c r="B35" s="23">
        <v>16777.689999999999</v>
      </c>
      <c r="C35" s="23">
        <v>12615.32</v>
      </c>
      <c r="D35" s="23">
        <v>723.26</v>
      </c>
      <c r="E35" s="23">
        <v>2506.2399999999998</v>
      </c>
      <c r="F35" s="23">
        <v>650.41</v>
      </c>
      <c r="G35" s="23">
        <v>933.83</v>
      </c>
      <c r="H35" s="23">
        <v>2630.69</v>
      </c>
      <c r="I35" s="23">
        <v>165.56</v>
      </c>
      <c r="J35" s="23">
        <v>5005.32</v>
      </c>
      <c r="K35" s="23">
        <v>791.95</v>
      </c>
      <c r="L35" s="24">
        <v>3370.41</v>
      </c>
    </row>
    <row r="36" spans="1:12" ht="15.75" customHeight="1">
      <c r="A36" s="118" t="s">
        <v>141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2"/>
    </row>
  </sheetData>
  <mergeCells count="4">
    <mergeCell ref="A1:F1"/>
    <mergeCell ref="A15:F15"/>
    <mergeCell ref="A17:L17"/>
    <mergeCell ref="A36:L36"/>
  </mergeCells>
  <hyperlinks>
    <hyperlink ref="A15" r:id="rId1" xr:uid="{00000000-0004-0000-0200-000000000000}"/>
    <hyperlink ref="A36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Q1001"/>
  <sheetViews>
    <sheetView workbookViewId="0"/>
  </sheetViews>
  <sheetFormatPr defaultColWidth="12.7109375" defaultRowHeight="15.75" customHeight="1"/>
  <cols>
    <col min="1" max="1" width="48" customWidth="1"/>
    <col min="2" max="4" width="9.140625" customWidth="1"/>
    <col min="5" max="5" width="6.85546875" customWidth="1"/>
    <col min="6" max="9" width="6.28515625" customWidth="1"/>
    <col min="10" max="10" width="11.42578125" customWidth="1"/>
    <col min="11" max="11" width="12.140625" customWidth="1"/>
    <col min="12" max="12" width="4.140625" customWidth="1"/>
    <col min="13" max="13" width="22.7109375" customWidth="1"/>
    <col min="14" max="14" width="17.85546875" customWidth="1"/>
    <col min="15" max="15" width="16.42578125" customWidth="1"/>
    <col min="17" max="17" width="20" customWidth="1"/>
  </cols>
  <sheetData>
    <row r="1" spans="1:17">
      <c r="A1" s="97" t="s">
        <v>142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M1" s="98" t="s">
        <v>143</v>
      </c>
      <c r="N1" s="113"/>
      <c r="O1" s="113"/>
      <c r="P1" s="113"/>
      <c r="Q1" s="114"/>
    </row>
    <row r="2" spans="1:17">
      <c r="A2" s="61"/>
      <c r="B2" s="99" t="s">
        <v>144</v>
      </c>
      <c r="C2" s="112"/>
      <c r="D2" s="99" t="s">
        <v>145</v>
      </c>
      <c r="E2" s="112"/>
      <c r="F2" s="99" t="s">
        <v>146</v>
      </c>
      <c r="G2" s="111"/>
      <c r="H2" s="111"/>
      <c r="I2" s="112"/>
      <c r="J2" s="99" t="s">
        <v>147</v>
      </c>
      <c r="K2" s="112"/>
      <c r="M2" s="62"/>
      <c r="N2" s="49" t="s">
        <v>148</v>
      </c>
      <c r="O2" s="63" t="s">
        <v>149</v>
      </c>
      <c r="P2" s="100" t="s">
        <v>150</v>
      </c>
      <c r="Q2" s="115"/>
    </row>
    <row r="3" spans="1:17" ht="15.75" customHeight="1">
      <c r="A3" s="61"/>
      <c r="B3" s="82">
        <v>2025</v>
      </c>
      <c r="C3" s="83">
        <v>2024</v>
      </c>
      <c r="D3" s="82" t="s">
        <v>151</v>
      </c>
      <c r="E3" s="83" t="s">
        <v>152</v>
      </c>
      <c r="F3" s="82" t="s">
        <v>153</v>
      </c>
      <c r="G3" s="84" t="s">
        <v>154</v>
      </c>
      <c r="H3" s="84" t="s">
        <v>155</v>
      </c>
      <c r="I3" s="83" t="s">
        <v>156</v>
      </c>
      <c r="J3" s="82" t="s">
        <v>157</v>
      </c>
      <c r="K3" s="83" t="s">
        <v>158</v>
      </c>
      <c r="M3" s="64" t="s">
        <v>159</v>
      </c>
      <c r="N3" s="49">
        <v>8</v>
      </c>
      <c r="O3" s="49">
        <v>11</v>
      </c>
      <c r="P3" s="101">
        <v>11</v>
      </c>
      <c r="Q3" s="115"/>
    </row>
    <row r="4" spans="1:17" ht="15.75" customHeight="1">
      <c r="A4" s="65" t="s">
        <v>160</v>
      </c>
      <c r="B4" s="55">
        <v>22</v>
      </c>
      <c r="C4" s="66">
        <v>19</v>
      </c>
      <c r="D4" s="55">
        <v>30</v>
      </c>
      <c r="E4" s="66">
        <v>15</v>
      </c>
      <c r="F4" s="55">
        <v>35</v>
      </c>
      <c r="G4" s="33">
        <v>34</v>
      </c>
      <c r="H4" s="33">
        <v>10</v>
      </c>
      <c r="I4" s="66">
        <v>4</v>
      </c>
      <c r="J4" s="55">
        <v>21</v>
      </c>
      <c r="K4" s="66">
        <v>25</v>
      </c>
      <c r="M4" s="64" t="s">
        <v>161</v>
      </c>
      <c r="N4" s="49">
        <v>15</v>
      </c>
      <c r="O4" s="49">
        <v>23</v>
      </c>
      <c r="P4" s="101">
        <v>18</v>
      </c>
      <c r="Q4" s="115"/>
    </row>
    <row r="5" spans="1:17" ht="24" customHeight="1">
      <c r="A5" s="65" t="s">
        <v>162</v>
      </c>
      <c r="B5" s="55">
        <v>87</v>
      </c>
      <c r="C5" s="66">
        <v>91</v>
      </c>
      <c r="D5" s="55">
        <v>90</v>
      </c>
      <c r="E5" s="66">
        <v>81</v>
      </c>
      <c r="F5" s="55">
        <v>89</v>
      </c>
      <c r="G5" s="33">
        <v>89</v>
      </c>
      <c r="H5" s="33">
        <v>76</v>
      </c>
      <c r="I5" s="66">
        <v>73</v>
      </c>
      <c r="J5" s="55">
        <v>85</v>
      </c>
      <c r="K5" s="66">
        <v>90</v>
      </c>
      <c r="M5" s="64" t="s">
        <v>163</v>
      </c>
      <c r="N5" s="49">
        <v>11</v>
      </c>
      <c r="O5" s="49">
        <v>17</v>
      </c>
      <c r="P5" s="101">
        <v>15</v>
      </c>
      <c r="Q5" s="115"/>
    </row>
    <row r="6" spans="1:17" ht="26.25" customHeight="1">
      <c r="A6" s="67" t="s">
        <v>164</v>
      </c>
      <c r="B6" s="54"/>
      <c r="C6" s="68"/>
      <c r="D6" s="54"/>
      <c r="E6" s="68"/>
      <c r="F6" s="54"/>
      <c r="G6" s="49"/>
      <c r="H6" s="49"/>
      <c r="I6" s="68"/>
      <c r="J6" s="54"/>
      <c r="K6" s="68"/>
      <c r="M6" s="64" t="s">
        <v>165</v>
      </c>
      <c r="N6" s="49">
        <v>19</v>
      </c>
      <c r="O6" s="49">
        <v>21</v>
      </c>
      <c r="P6" s="101">
        <v>18</v>
      </c>
      <c r="Q6" s="115"/>
    </row>
    <row r="7" spans="1:17" ht="15.75" customHeight="1">
      <c r="A7" s="69" t="s">
        <v>166</v>
      </c>
      <c r="B7" s="54">
        <v>40</v>
      </c>
      <c r="C7" s="68">
        <v>37</v>
      </c>
      <c r="D7" s="54">
        <v>37</v>
      </c>
      <c r="E7" s="68">
        <v>46</v>
      </c>
      <c r="F7" s="54">
        <v>34</v>
      </c>
      <c r="G7" s="49">
        <v>39</v>
      </c>
      <c r="H7" s="49">
        <v>51</v>
      </c>
      <c r="I7" s="68">
        <v>73</v>
      </c>
      <c r="J7" s="54">
        <v>39</v>
      </c>
      <c r="K7" s="68">
        <v>41</v>
      </c>
      <c r="M7" s="64" t="s">
        <v>167</v>
      </c>
      <c r="N7" s="49">
        <v>19</v>
      </c>
      <c r="O7" s="49">
        <v>18</v>
      </c>
      <c r="P7" s="101">
        <v>18</v>
      </c>
      <c r="Q7" s="115"/>
    </row>
    <row r="8" spans="1:17" ht="15.75" customHeight="1">
      <c r="A8" s="69">
        <v>2</v>
      </c>
      <c r="B8" s="54">
        <v>34</v>
      </c>
      <c r="C8" s="68">
        <v>35</v>
      </c>
      <c r="D8" s="54">
        <v>36</v>
      </c>
      <c r="E8" s="68">
        <v>31</v>
      </c>
      <c r="F8" s="54">
        <v>38</v>
      </c>
      <c r="G8" s="49">
        <v>36</v>
      </c>
      <c r="H8" s="49">
        <v>25</v>
      </c>
      <c r="I8" s="68">
        <v>10</v>
      </c>
      <c r="J8" s="54">
        <v>35</v>
      </c>
      <c r="K8" s="68">
        <v>33</v>
      </c>
      <c r="M8" s="64" t="s">
        <v>168</v>
      </c>
      <c r="N8" s="49">
        <v>13</v>
      </c>
      <c r="O8" s="49">
        <v>5</v>
      </c>
      <c r="P8" s="101">
        <v>10</v>
      </c>
      <c r="Q8" s="115"/>
    </row>
    <row r="9" spans="1:17" ht="15.75" customHeight="1">
      <c r="A9" s="69">
        <v>3</v>
      </c>
      <c r="B9" s="54">
        <v>15</v>
      </c>
      <c r="C9" s="68">
        <v>21</v>
      </c>
      <c r="D9" s="54">
        <v>16</v>
      </c>
      <c r="E9" s="68">
        <v>13</v>
      </c>
      <c r="F9" s="54">
        <v>16</v>
      </c>
      <c r="G9" s="49">
        <v>15</v>
      </c>
      <c r="H9" s="49">
        <v>12</v>
      </c>
      <c r="I9" s="68">
        <v>12</v>
      </c>
      <c r="J9" s="54">
        <v>15</v>
      </c>
      <c r="K9" s="68">
        <v>15</v>
      </c>
      <c r="M9" s="64" t="s">
        <v>169</v>
      </c>
      <c r="N9" s="49">
        <v>8</v>
      </c>
      <c r="O9" s="49">
        <v>4</v>
      </c>
      <c r="P9" s="101">
        <v>6</v>
      </c>
      <c r="Q9" s="115"/>
    </row>
    <row r="10" spans="1:17" ht="15.75" customHeight="1">
      <c r="A10" s="70" t="s">
        <v>170</v>
      </c>
      <c r="B10" s="55">
        <v>10</v>
      </c>
      <c r="C10" s="66">
        <v>7</v>
      </c>
      <c r="D10" s="55">
        <v>11</v>
      </c>
      <c r="E10" s="66">
        <v>8</v>
      </c>
      <c r="F10" s="55">
        <v>12</v>
      </c>
      <c r="G10" s="33">
        <v>9</v>
      </c>
      <c r="H10" s="33">
        <v>7</v>
      </c>
      <c r="I10" s="66">
        <v>5</v>
      </c>
      <c r="J10" s="55">
        <v>10</v>
      </c>
      <c r="K10" s="66">
        <v>10</v>
      </c>
      <c r="M10" s="71" t="s">
        <v>171</v>
      </c>
      <c r="N10" s="33">
        <v>6</v>
      </c>
      <c r="O10" s="33">
        <v>1</v>
      </c>
      <c r="P10" s="102">
        <v>4</v>
      </c>
      <c r="Q10" s="117"/>
    </row>
    <row r="11" spans="1:17" ht="15.75" customHeight="1">
      <c r="A11" s="67" t="s">
        <v>172</v>
      </c>
      <c r="B11" s="54"/>
      <c r="C11" s="68"/>
      <c r="D11" s="54"/>
      <c r="E11" s="68"/>
      <c r="F11" s="54"/>
      <c r="G11" s="49"/>
      <c r="H11" s="49"/>
      <c r="I11" s="68"/>
      <c r="J11" s="54"/>
      <c r="K11" s="68"/>
      <c r="M11" s="105" t="s">
        <v>173</v>
      </c>
      <c r="N11" s="116"/>
      <c r="O11" s="116"/>
      <c r="P11" s="116"/>
      <c r="Q11" s="117"/>
    </row>
    <row r="12" spans="1:17" ht="15.75" customHeight="1">
      <c r="A12" s="69" t="s">
        <v>174</v>
      </c>
      <c r="B12" s="54">
        <v>19</v>
      </c>
      <c r="C12" s="68">
        <v>24</v>
      </c>
      <c r="D12" s="54">
        <v>22</v>
      </c>
      <c r="E12" s="68">
        <v>16</v>
      </c>
      <c r="F12" s="54">
        <v>24</v>
      </c>
      <c r="G12" s="49">
        <v>18</v>
      </c>
      <c r="H12" s="49">
        <v>12</v>
      </c>
      <c r="I12" s="68">
        <v>10</v>
      </c>
      <c r="J12" s="54">
        <v>21</v>
      </c>
      <c r="K12" s="68">
        <v>16</v>
      </c>
    </row>
    <row r="13" spans="1:17" ht="15.75" customHeight="1">
      <c r="A13" s="69" t="s">
        <v>175</v>
      </c>
      <c r="B13" s="54">
        <v>25</v>
      </c>
      <c r="C13" s="68">
        <v>24</v>
      </c>
      <c r="D13" s="54">
        <v>28</v>
      </c>
      <c r="E13" s="68">
        <v>20</v>
      </c>
      <c r="F13" s="54">
        <v>30</v>
      </c>
      <c r="G13" s="49">
        <v>23</v>
      </c>
      <c r="H13" s="49">
        <v>21</v>
      </c>
      <c r="I13" s="68">
        <v>16</v>
      </c>
      <c r="J13" s="54">
        <v>23</v>
      </c>
      <c r="K13" s="68">
        <v>31</v>
      </c>
      <c r="M13" s="106" t="s">
        <v>176</v>
      </c>
      <c r="N13" s="113"/>
      <c r="O13" s="113"/>
      <c r="P13" s="114"/>
    </row>
    <row r="14" spans="1:17" ht="15.75" customHeight="1">
      <c r="A14" s="69" t="s">
        <v>177</v>
      </c>
      <c r="B14" s="54">
        <v>30</v>
      </c>
      <c r="C14" s="68">
        <v>30</v>
      </c>
      <c r="D14" s="54">
        <v>30</v>
      </c>
      <c r="E14" s="68">
        <v>30</v>
      </c>
      <c r="F14" s="54">
        <v>37</v>
      </c>
      <c r="G14" s="49">
        <v>33</v>
      </c>
      <c r="H14" s="49">
        <v>23</v>
      </c>
      <c r="I14" s="68">
        <v>50</v>
      </c>
      <c r="J14" s="54">
        <v>29</v>
      </c>
      <c r="K14" s="68">
        <v>32</v>
      </c>
      <c r="M14" s="64"/>
      <c r="N14" s="1" t="s">
        <v>178</v>
      </c>
      <c r="O14" s="1" t="s">
        <v>179</v>
      </c>
      <c r="P14" s="72" t="s">
        <v>180</v>
      </c>
    </row>
    <row r="15" spans="1:17" ht="15.75" customHeight="1">
      <c r="A15" s="69" t="s">
        <v>181</v>
      </c>
      <c r="B15" s="54">
        <v>18</v>
      </c>
      <c r="C15" s="68">
        <v>20</v>
      </c>
      <c r="D15" s="54">
        <v>16</v>
      </c>
      <c r="E15" s="68">
        <v>22</v>
      </c>
      <c r="F15" s="54">
        <v>14</v>
      </c>
      <c r="G15" s="49">
        <v>21</v>
      </c>
      <c r="H15" s="49">
        <v>29</v>
      </c>
      <c r="I15" s="68">
        <v>14</v>
      </c>
      <c r="J15" s="54">
        <v>20</v>
      </c>
      <c r="K15" s="68">
        <v>16</v>
      </c>
      <c r="M15" s="64" t="s">
        <v>182</v>
      </c>
      <c r="N15" s="49">
        <v>65</v>
      </c>
      <c r="O15" s="49">
        <v>22</v>
      </c>
      <c r="P15" s="68">
        <v>9</v>
      </c>
    </row>
    <row r="16" spans="1:17" ht="15.75" customHeight="1">
      <c r="A16" s="70" t="s">
        <v>183</v>
      </c>
      <c r="B16" s="55">
        <v>6</v>
      </c>
      <c r="C16" s="66">
        <v>3</v>
      </c>
      <c r="D16" s="55">
        <v>3</v>
      </c>
      <c r="E16" s="66">
        <v>10</v>
      </c>
      <c r="F16" s="55">
        <v>4</v>
      </c>
      <c r="G16" s="33">
        <v>6</v>
      </c>
      <c r="H16" s="33">
        <v>13</v>
      </c>
      <c r="I16" s="66">
        <v>10</v>
      </c>
      <c r="J16" s="55">
        <v>7</v>
      </c>
      <c r="K16" s="66">
        <v>4</v>
      </c>
      <c r="M16" s="64" t="s">
        <v>184</v>
      </c>
      <c r="N16" s="49">
        <v>65</v>
      </c>
      <c r="O16" s="49">
        <v>22</v>
      </c>
      <c r="P16" s="68">
        <v>10</v>
      </c>
    </row>
    <row r="17" spans="1:16" ht="26.25" customHeight="1">
      <c r="A17" s="65" t="s">
        <v>185</v>
      </c>
      <c r="B17" s="55">
        <v>83</v>
      </c>
      <c r="C17" s="66">
        <v>88</v>
      </c>
      <c r="D17" s="55">
        <v>87</v>
      </c>
      <c r="E17" s="66">
        <v>77</v>
      </c>
      <c r="F17" s="55">
        <v>86</v>
      </c>
      <c r="G17" s="33">
        <v>82</v>
      </c>
      <c r="H17" s="33">
        <v>72</v>
      </c>
      <c r="I17" s="66">
        <v>88</v>
      </c>
      <c r="J17" s="55">
        <v>80</v>
      </c>
      <c r="K17" s="66">
        <v>88</v>
      </c>
      <c r="M17" s="64" t="s">
        <v>186</v>
      </c>
      <c r="N17" s="49">
        <v>64</v>
      </c>
      <c r="O17" s="49">
        <v>21</v>
      </c>
      <c r="P17" s="68">
        <v>10</v>
      </c>
    </row>
    <row r="18" spans="1:16" ht="37.5" customHeight="1">
      <c r="A18" s="67" t="s">
        <v>187</v>
      </c>
      <c r="B18" s="54"/>
      <c r="C18" s="68"/>
      <c r="D18" s="54"/>
      <c r="E18" s="68"/>
      <c r="F18" s="54"/>
      <c r="G18" s="49"/>
      <c r="H18" s="49"/>
      <c r="I18" s="68"/>
      <c r="J18" s="54"/>
      <c r="K18" s="68"/>
      <c r="M18" s="64" t="s">
        <v>188</v>
      </c>
      <c r="N18" s="49">
        <v>62</v>
      </c>
      <c r="O18" s="49">
        <v>23</v>
      </c>
      <c r="P18" s="68">
        <v>12</v>
      </c>
    </row>
    <row r="19" spans="1:16" ht="15.75" customHeight="1">
      <c r="A19" s="69" t="s">
        <v>189</v>
      </c>
      <c r="B19" s="54">
        <v>30</v>
      </c>
      <c r="C19" s="68">
        <v>36</v>
      </c>
      <c r="D19" s="54">
        <v>33</v>
      </c>
      <c r="E19" s="68">
        <v>25</v>
      </c>
      <c r="F19" s="54">
        <v>33</v>
      </c>
      <c r="G19" s="49">
        <v>29</v>
      </c>
      <c r="H19" s="49">
        <v>17</v>
      </c>
      <c r="I19" s="68">
        <v>25</v>
      </c>
      <c r="J19" s="54">
        <v>24</v>
      </c>
      <c r="K19" s="68">
        <v>39</v>
      </c>
      <c r="M19" s="64" t="s">
        <v>190</v>
      </c>
      <c r="N19" s="49">
        <v>63</v>
      </c>
      <c r="O19" s="49">
        <v>20</v>
      </c>
      <c r="P19" s="68">
        <v>12</v>
      </c>
    </row>
    <row r="20" spans="1:16" ht="15.75" customHeight="1">
      <c r="A20" s="69" t="s">
        <v>191</v>
      </c>
      <c r="B20" s="54">
        <v>37</v>
      </c>
      <c r="C20" s="68">
        <v>30</v>
      </c>
      <c r="D20" s="54">
        <v>36</v>
      </c>
      <c r="E20" s="68">
        <v>38</v>
      </c>
      <c r="F20" s="54">
        <v>38</v>
      </c>
      <c r="G20" s="49">
        <v>36</v>
      </c>
      <c r="H20" s="49">
        <v>47</v>
      </c>
      <c r="I20" s="68">
        <v>23</v>
      </c>
      <c r="J20" s="54">
        <v>41</v>
      </c>
      <c r="K20" s="68">
        <v>31</v>
      </c>
      <c r="M20" s="107" t="s">
        <v>192</v>
      </c>
      <c r="N20" s="116"/>
      <c r="O20" s="116"/>
      <c r="P20" s="117"/>
    </row>
    <row r="21" spans="1:16" ht="15.75" customHeight="1">
      <c r="A21" s="70" t="s">
        <v>193</v>
      </c>
      <c r="B21" s="55">
        <v>33</v>
      </c>
      <c r="C21" s="66">
        <v>33</v>
      </c>
      <c r="D21" s="55">
        <v>30</v>
      </c>
      <c r="E21" s="66">
        <v>37</v>
      </c>
      <c r="F21" s="55">
        <v>29</v>
      </c>
      <c r="G21" s="33">
        <v>34</v>
      </c>
      <c r="H21" s="33">
        <v>36</v>
      </c>
      <c r="I21" s="66">
        <v>46</v>
      </c>
      <c r="J21" s="55">
        <v>35</v>
      </c>
      <c r="K21" s="66">
        <v>29</v>
      </c>
    </row>
    <row r="22" spans="1:16" ht="38.25" customHeight="1">
      <c r="A22" s="67" t="s">
        <v>194</v>
      </c>
      <c r="B22" s="54"/>
      <c r="C22" s="68"/>
      <c r="D22" s="54"/>
      <c r="E22" s="68"/>
      <c r="F22" s="54"/>
      <c r="G22" s="49"/>
      <c r="H22" s="49"/>
      <c r="I22" s="68"/>
      <c r="J22" s="54"/>
      <c r="K22" s="68"/>
      <c r="M22" s="108" t="s">
        <v>195</v>
      </c>
      <c r="N22" s="113"/>
      <c r="O22" s="113"/>
      <c r="P22" s="114"/>
    </row>
    <row r="23" spans="1:16" ht="15.75" customHeight="1">
      <c r="A23" s="69" t="s">
        <v>196</v>
      </c>
      <c r="B23" s="54">
        <v>21</v>
      </c>
      <c r="C23" s="68">
        <v>20</v>
      </c>
      <c r="D23" s="54">
        <v>18</v>
      </c>
      <c r="E23" s="68">
        <v>27</v>
      </c>
      <c r="F23" s="54">
        <v>14</v>
      </c>
      <c r="G23" s="49">
        <v>24</v>
      </c>
      <c r="H23" s="49">
        <v>27</v>
      </c>
      <c r="I23" s="68">
        <v>43</v>
      </c>
      <c r="J23" s="54">
        <v>23</v>
      </c>
      <c r="K23" s="68">
        <v>17</v>
      </c>
      <c r="M23" s="73" t="s">
        <v>197</v>
      </c>
      <c r="N23" s="119"/>
      <c r="O23" s="109"/>
      <c r="P23" s="115"/>
    </row>
    <row r="24" spans="1:16" ht="15.75" customHeight="1">
      <c r="A24" s="69" t="s">
        <v>198</v>
      </c>
      <c r="B24" s="54">
        <v>22</v>
      </c>
      <c r="C24" s="68">
        <v>18</v>
      </c>
      <c r="D24" s="54">
        <v>20</v>
      </c>
      <c r="E24" s="68">
        <v>26</v>
      </c>
      <c r="F24" s="54">
        <v>24</v>
      </c>
      <c r="G24" s="49">
        <v>20</v>
      </c>
      <c r="H24" s="49">
        <v>27</v>
      </c>
      <c r="I24" s="68">
        <v>17</v>
      </c>
      <c r="J24" s="54">
        <v>25</v>
      </c>
      <c r="K24" s="68">
        <v>18</v>
      </c>
      <c r="M24" s="74" t="s">
        <v>199</v>
      </c>
      <c r="N24" s="101">
        <v>10</v>
      </c>
      <c r="O24" s="109"/>
      <c r="P24" s="115"/>
    </row>
    <row r="25" spans="1:16" ht="15.75" customHeight="1">
      <c r="A25" s="69" t="s">
        <v>200</v>
      </c>
      <c r="B25" s="54">
        <v>21</v>
      </c>
      <c r="C25" s="68">
        <v>20</v>
      </c>
      <c r="D25" s="54">
        <v>20</v>
      </c>
      <c r="E25" s="68">
        <v>21</v>
      </c>
      <c r="F25" s="54">
        <v>24</v>
      </c>
      <c r="G25" s="49">
        <v>16</v>
      </c>
      <c r="H25" s="49">
        <v>20</v>
      </c>
      <c r="I25" s="68">
        <v>25</v>
      </c>
      <c r="J25" s="54">
        <v>21</v>
      </c>
      <c r="K25" s="68">
        <v>20</v>
      </c>
      <c r="M25" s="74" t="s">
        <v>201</v>
      </c>
      <c r="N25" s="101">
        <v>7</v>
      </c>
      <c r="O25" s="109"/>
      <c r="P25" s="115"/>
    </row>
    <row r="26" spans="1:16" ht="15.75" customHeight="1">
      <c r="A26" s="69" t="s">
        <v>202</v>
      </c>
      <c r="B26" s="54">
        <v>18</v>
      </c>
      <c r="C26" s="68">
        <v>21</v>
      </c>
      <c r="D26" s="54">
        <v>19</v>
      </c>
      <c r="E26" s="68">
        <v>16</v>
      </c>
      <c r="F26" s="54">
        <v>19</v>
      </c>
      <c r="G26" s="49">
        <v>19</v>
      </c>
      <c r="H26" s="49">
        <v>9</v>
      </c>
      <c r="I26" s="68">
        <v>12</v>
      </c>
      <c r="J26" s="54">
        <v>14</v>
      </c>
      <c r="K26" s="68">
        <v>24</v>
      </c>
      <c r="M26" s="75" t="s">
        <v>203</v>
      </c>
      <c r="N26" s="102">
        <v>7</v>
      </c>
      <c r="O26" s="116"/>
      <c r="P26" s="117"/>
    </row>
    <row r="27" spans="1:16" ht="15.75" customHeight="1">
      <c r="A27" s="69" t="s">
        <v>204</v>
      </c>
      <c r="B27" s="54">
        <v>9</v>
      </c>
      <c r="C27" s="68">
        <v>12</v>
      </c>
      <c r="D27" s="54">
        <v>10</v>
      </c>
      <c r="E27" s="68">
        <v>6</v>
      </c>
      <c r="F27" s="54">
        <v>9</v>
      </c>
      <c r="G27" s="49">
        <v>10</v>
      </c>
      <c r="H27" s="49">
        <v>4</v>
      </c>
      <c r="I27" s="68">
        <v>3</v>
      </c>
      <c r="J27" s="54">
        <v>8</v>
      </c>
      <c r="K27" s="68">
        <v>10</v>
      </c>
      <c r="M27" s="76" t="s">
        <v>205</v>
      </c>
      <c r="N27" s="101"/>
      <c r="O27" s="109"/>
      <c r="P27" s="115"/>
    </row>
    <row r="28" spans="1:16" ht="15.75" customHeight="1">
      <c r="A28" s="70" t="s">
        <v>206</v>
      </c>
      <c r="B28" s="55">
        <v>10</v>
      </c>
      <c r="C28" s="66">
        <v>8</v>
      </c>
      <c r="D28" s="55">
        <v>13</v>
      </c>
      <c r="E28" s="66">
        <v>3</v>
      </c>
      <c r="F28" s="55">
        <v>10</v>
      </c>
      <c r="G28" s="33">
        <v>11</v>
      </c>
      <c r="H28" s="33">
        <v>11</v>
      </c>
      <c r="I28" s="66">
        <v>0</v>
      </c>
      <c r="J28" s="55">
        <v>10</v>
      </c>
      <c r="K28" s="66">
        <v>9</v>
      </c>
      <c r="M28" s="74" t="s">
        <v>207</v>
      </c>
      <c r="N28" s="101">
        <v>59</v>
      </c>
      <c r="O28" s="109"/>
      <c r="P28" s="115"/>
    </row>
    <row r="29" spans="1:16" ht="25.5" customHeight="1">
      <c r="A29" s="65" t="s">
        <v>208</v>
      </c>
      <c r="B29" s="55">
        <v>86</v>
      </c>
      <c r="C29" s="66">
        <v>80</v>
      </c>
      <c r="D29" s="55">
        <v>88</v>
      </c>
      <c r="E29" s="66">
        <v>82</v>
      </c>
      <c r="F29" s="55">
        <v>90</v>
      </c>
      <c r="G29" s="33">
        <v>86</v>
      </c>
      <c r="H29" s="33">
        <v>73</v>
      </c>
      <c r="I29" s="66">
        <v>66</v>
      </c>
      <c r="J29" s="55">
        <v>88</v>
      </c>
      <c r="K29" s="66">
        <v>82</v>
      </c>
      <c r="M29" s="75" t="s">
        <v>158</v>
      </c>
      <c r="N29" s="102">
        <v>41</v>
      </c>
      <c r="O29" s="116"/>
      <c r="P29" s="117"/>
    </row>
    <row r="30" spans="1:16" ht="39.75" customHeight="1">
      <c r="A30" s="77" t="s">
        <v>209</v>
      </c>
      <c r="B30" s="54"/>
      <c r="C30" s="68"/>
      <c r="D30" s="54"/>
      <c r="E30" s="68"/>
      <c r="F30" s="54"/>
      <c r="G30" s="49"/>
      <c r="H30" s="49"/>
      <c r="I30" s="68"/>
      <c r="J30" s="54"/>
      <c r="K30" s="68"/>
      <c r="M30" s="103" t="s">
        <v>210</v>
      </c>
      <c r="N30" s="116"/>
      <c r="O30" s="116"/>
      <c r="P30" s="117"/>
    </row>
    <row r="31" spans="1:16" ht="15.75" customHeight="1">
      <c r="A31" s="69" t="s">
        <v>211</v>
      </c>
      <c r="B31" s="54">
        <v>16</v>
      </c>
      <c r="C31" s="68">
        <v>16</v>
      </c>
      <c r="D31" s="54">
        <v>15</v>
      </c>
      <c r="E31" s="68">
        <v>18</v>
      </c>
      <c r="F31" s="54">
        <v>16</v>
      </c>
      <c r="G31" s="49">
        <v>12</v>
      </c>
      <c r="H31" s="49">
        <v>19</v>
      </c>
      <c r="I31" s="68">
        <v>32</v>
      </c>
      <c r="J31" s="54">
        <v>14</v>
      </c>
      <c r="K31" s="68">
        <v>19</v>
      </c>
    </row>
    <row r="32" spans="1:16" ht="15.75" customHeight="1">
      <c r="A32" s="69" t="s">
        <v>181</v>
      </c>
      <c r="B32" s="54">
        <v>39</v>
      </c>
      <c r="C32" s="68">
        <v>43</v>
      </c>
      <c r="D32" s="54">
        <v>39</v>
      </c>
      <c r="E32" s="68">
        <v>39</v>
      </c>
      <c r="F32" s="54">
        <v>25</v>
      </c>
      <c r="G32" s="49">
        <v>41</v>
      </c>
      <c r="H32" s="49">
        <v>49</v>
      </c>
      <c r="I32" s="68">
        <v>48</v>
      </c>
      <c r="J32" s="54">
        <v>38</v>
      </c>
      <c r="K32" s="68">
        <v>40</v>
      </c>
    </row>
    <row r="33" spans="1:11" ht="15.75" customHeight="1">
      <c r="A33" s="69" t="s">
        <v>212</v>
      </c>
      <c r="B33" s="54">
        <v>22</v>
      </c>
      <c r="C33" s="68">
        <v>22</v>
      </c>
      <c r="D33" s="54">
        <v>22</v>
      </c>
      <c r="E33" s="68">
        <v>22</v>
      </c>
      <c r="F33" s="54">
        <v>25</v>
      </c>
      <c r="G33" s="49">
        <v>22</v>
      </c>
      <c r="H33" s="49">
        <v>17</v>
      </c>
      <c r="I33" s="68">
        <v>13</v>
      </c>
      <c r="J33" s="54">
        <v>23</v>
      </c>
      <c r="K33" s="68">
        <v>21</v>
      </c>
    </row>
    <row r="34" spans="1:11" ht="15.75" customHeight="1">
      <c r="A34" s="70" t="s">
        <v>213</v>
      </c>
      <c r="B34" s="55">
        <v>22</v>
      </c>
      <c r="C34" s="66">
        <v>18</v>
      </c>
      <c r="D34" s="55">
        <v>23</v>
      </c>
      <c r="E34" s="66">
        <v>19</v>
      </c>
      <c r="F34" s="55">
        <v>24</v>
      </c>
      <c r="G34" s="33">
        <v>24</v>
      </c>
      <c r="H34" s="33">
        <v>15</v>
      </c>
      <c r="I34" s="66">
        <v>3</v>
      </c>
      <c r="J34" s="55">
        <v>23</v>
      </c>
      <c r="K34" s="66">
        <v>19</v>
      </c>
    </row>
    <row r="35" spans="1:11" ht="29.25" customHeight="1">
      <c r="A35" s="61" t="s">
        <v>214</v>
      </c>
      <c r="B35" s="54"/>
      <c r="C35" s="68"/>
      <c r="D35" s="54"/>
      <c r="E35" s="68"/>
      <c r="F35" s="54"/>
      <c r="G35" s="49"/>
      <c r="H35" s="49"/>
      <c r="I35" s="68"/>
      <c r="J35" s="54"/>
      <c r="K35" s="68"/>
    </row>
    <row r="36" spans="1:11" ht="15.75" customHeight="1">
      <c r="A36" s="69" t="s">
        <v>215</v>
      </c>
      <c r="B36" s="54">
        <v>23</v>
      </c>
      <c r="C36" s="68">
        <v>24</v>
      </c>
      <c r="D36" s="54">
        <v>28</v>
      </c>
      <c r="E36" s="68">
        <v>14</v>
      </c>
      <c r="F36" s="54">
        <v>25</v>
      </c>
      <c r="G36" s="49">
        <v>25</v>
      </c>
      <c r="H36" s="49">
        <v>19</v>
      </c>
      <c r="I36" s="68">
        <v>5</v>
      </c>
      <c r="J36" s="54">
        <v>20</v>
      </c>
      <c r="K36" s="68">
        <v>29</v>
      </c>
    </row>
    <row r="37" spans="1:11" ht="15.75" customHeight="1">
      <c r="A37" s="69" t="s">
        <v>216</v>
      </c>
      <c r="B37" s="54">
        <v>50</v>
      </c>
      <c r="C37" s="68">
        <v>47</v>
      </c>
      <c r="D37" s="54">
        <v>48</v>
      </c>
      <c r="E37" s="68">
        <v>56</v>
      </c>
      <c r="F37" s="54">
        <v>52</v>
      </c>
      <c r="G37" s="49">
        <v>50</v>
      </c>
      <c r="H37" s="49">
        <v>43</v>
      </c>
      <c r="I37" s="68">
        <v>51</v>
      </c>
      <c r="J37" s="54">
        <v>52</v>
      </c>
      <c r="K37" s="68">
        <v>47</v>
      </c>
    </row>
    <row r="38" spans="1:11" ht="30" customHeight="1">
      <c r="A38" s="69" t="s">
        <v>217</v>
      </c>
      <c r="B38" s="54">
        <v>20</v>
      </c>
      <c r="C38" s="68">
        <v>24</v>
      </c>
      <c r="D38" s="54">
        <v>20</v>
      </c>
      <c r="E38" s="68">
        <v>20</v>
      </c>
      <c r="F38" s="54">
        <v>18</v>
      </c>
      <c r="G38" s="49">
        <v>20</v>
      </c>
      <c r="H38" s="49">
        <v>28</v>
      </c>
      <c r="I38" s="68">
        <v>25</v>
      </c>
      <c r="J38" s="54">
        <v>21</v>
      </c>
      <c r="K38" s="68">
        <v>19</v>
      </c>
    </row>
    <row r="39" spans="1:11" ht="15.75" customHeight="1">
      <c r="A39" s="70" t="s">
        <v>218</v>
      </c>
      <c r="B39" s="55">
        <v>5</v>
      </c>
      <c r="C39" s="66">
        <v>5</v>
      </c>
      <c r="D39" s="55">
        <v>3</v>
      </c>
      <c r="E39" s="66">
        <v>9</v>
      </c>
      <c r="F39" s="55">
        <v>3</v>
      </c>
      <c r="G39" s="33">
        <v>4</v>
      </c>
      <c r="H39" s="33">
        <v>10</v>
      </c>
      <c r="I39" s="66">
        <v>20</v>
      </c>
      <c r="J39" s="55">
        <v>6</v>
      </c>
      <c r="K39" s="66">
        <v>4</v>
      </c>
    </row>
    <row r="40" spans="1:11" ht="48.75" customHeight="1">
      <c r="A40" s="65" t="s">
        <v>219</v>
      </c>
      <c r="B40" s="55">
        <v>52</v>
      </c>
      <c r="C40" s="66">
        <v>53</v>
      </c>
      <c r="D40" s="55">
        <v>57</v>
      </c>
      <c r="E40" s="66">
        <v>41</v>
      </c>
      <c r="F40" s="55">
        <v>58</v>
      </c>
      <c r="G40" s="33">
        <v>54</v>
      </c>
      <c r="H40" s="33">
        <v>38</v>
      </c>
      <c r="I40" s="66">
        <v>15</v>
      </c>
      <c r="J40" s="55">
        <v>52</v>
      </c>
      <c r="K40" s="66">
        <v>51</v>
      </c>
    </row>
    <row r="41" spans="1:11" ht="38.25" customHeight="1">
      <c r="A41" s="65" t="s">
        <v>220</v>
      </c>
      <c r="B41" s="55">
        <v>56</v>
      </c>
      <c r="C41" s="66">
        <v>59</v>
      </c>
      <c r="D41" s="55">
        <v>63</v>
      </c>
      <c r="E41" s="66">
        <v>43</v>
      </c>
      <c r="F41" s="55">
        <v>56</v>
      </c>
      <c r="G41" s="33">
        <v>62</v>
      </c>
      <c r="H41" s="33">
        <v>48</v>
      </c>
      <c r="I41" s="66">
        <v>26</v>
      </c>
      <c r="J41" s="55">
        <v>51</v>
      </c>
      <c r="K41" s="66">
        <v>63</v>
      </c>
    </row>
    <row r="42" spans="1:11" ht="44.25" customHeight="1">
      <c r="A42" s="65" t="s">
        <v>221</v>
      </c>
      <c r="B42" s="55">
        <v>24</v>
      </c>
      <c r="C42" s="66">
        <v>24</v>
      </c>
      <c r="D42" s="55">
        <v>28</v>
      </c>
      <c r="E42" s="66">
        <v>15</v>
      </c>
      <c r="F42" s="55">
        <v>25</v>
      </c>
      <c r="G42" s="33">
        <v>26</v>
      </c>
      <c r="H42" s="33">
        <v>20</v>
      </c>
      <c r="I42" s="66">
        <v>3</v>
      </c>
      <c r="J42" s="55">
        <v>19</v>
      </c>
      <c r="K42" s="66">
        <v>31</v>
      </c>
    </row>
    <row r="43" spans="1:11" ht="46.5" customHeight="1">
      <c r="A43" s="104" t="s">
        <v>222</v>
      </c>
      <c r="B43" s="111"/>
      <c r="C43" s="111"/>
      <c r="D43" s="111"/>
      <c r="E43" s="111"/>
      <c r="F43" s="111"/>
      <c r="G43" s="111"/>
      <c r="H43" s="111"/>
      <c r="I43" s="111"/>
      <c r="J43" s="111"/>
      <c r="K43" s="112"/>
    </row>
    <row r="44" spans="1:11" ht="15.75" customHeight="1">
      <c r="A44" s="61"/>
    </row>
    <row r="46" spans="1:11" ht="15.75" customHeight="1">
      <c r="F46" s="78"/>
    </row>
    <row r="47" spans="1:11" ht="15.75" customHeight="1">
      <c r="F47" s="49"/>
    </row>
    <row r="48" spans="1:11" ht="15.75" customHeight="1">
      <c r="F48" s="49"/>
    </row>
    <row r="49" spans="1:9" ht="15.75" customHeight="1">
      <c r="F49" s="49"/>
    </row>
    <row r="50" spans="1:9" ht="15.75" customHeight="1">
      <c r="F50" s="49"/>
    </row>
    <row r="51" spans="1:9" ht="15.75" customHeight="1">
      <c r="F51" s="49"/>
    </row>
    <row r="52" spans="1:9" ht="15.75" customHeight="1">
      <c r="F52" s="49"/>
    </row>
    <row r="53" spans="1:9" ht="15.75" customHeight="1">
      <c r="F53" s="49"/>
    </row>
    <row r="54" spans="1:9" ht="15.75" customHeight="1">
      <c r="F54" s="49"/>
    </row>
    <row r="56" spans="1:9" ht="12.95">
      <c r="A56" s="1"/>
      <c r="D56" s="45"/>
    </row>
    <row r="57" spans="1:9" ht="12.95">
      <c r="F57" s="61"/>
      <c r="G57" s="61"/>
      <c r="H57" s="61"/>
      <c r="I57" s="61"/>
    </row>
    <row r="59" spans="1:9" ht="12.95">
      <c r="F59" s="1"/>
    </row>
    <row r="65" spans="1:4" ht="12.95">
      <c r="A65" s="1"/>
      <c r="D65" s="45"/>
    </row>
    <row r="66" spans="1:4" ht="12.95">
      <c r="D66" s="45"/>
    </row>
    <row r="67" spans="1:4" ht="12.95">
      <c r="D67" s="45"/>
    </row>
    <row r="69" spans="1:4" ht="12.95">
      <c r="D69" s="1"/>
    </row>
    <row r="83" spans="1:1" ht="12.95">
      <c r="A83" s="61"/>
    </row>
    <row r="84" spans="1:1" ht="12.95">
      <c r="A84" s="61"/>
    </row>
    <row r="85" spans="1:1" ht="12.95">
      <c r="A85" s="61"/>
    </row>
    <row r="86" spans="1:1" ht="12.95">
      <c r="A86" s="61"/>
    </row>
    <row r="87" spans="1:1" ht="12.95">
      <c r="A87" s="61"/>
    </row>
    <row r="88" spans="1:1" ht="12.95">
      <c r="A88" s="61"/>
    </row>
    <row r="89" spans="1:1" ht="12.95">
      <c r="A89" s="61"/>
    </row>
    <row r="90" spans="1:1" ht="12.95">
      <c r="A90" s="61"/>
    </row>
    <row r="91" spans="1:1" ht="12.95">
      <c r="A91" s="61"/>
    </row>
    <row r="92" spans="1:1" ht="12.95">
      <c r="A92" s="61"/>
    </row>
    <row r="93" spans="1:1" ht="12.95">
      <c r="A93" s="61"/>
    </row>
    <row r="94" spans="1:1" ht="12.95">
      <c r="A94" s="61"/>
    </row>
    <row r="95" spans="1:1" ht="12.95">
      <c r="A95" s="61"/>
    </row>
    <row r="96" spans="1:1" ht="12.95">
      <c r="A96" s="61"/>
    </row>
    <row r="97" spans="1:1" ht="12.95">
      <c r="A97" s="61"/>
    </row>
    <row r="98" spans="1:1" ht="12.95">
      <c r="A98" s="61"/>
    </row>
    <row r="99" spans="1:1" ht="12.95">
      <c r="A99" s="61"/>
    </row>
    <row r="100" spans="1:1" ht="12.95">
      <c r="A100" s="61"/>
    </row>
    <row r="101" spans="1:1" ht="12.95">
      <c r="A101" s="61"/>
    </row>
    <row r="102" spans="1:1" ht="12.95">
      <c r="A102" s="61"/>
    </row>
    <row r="103" spans="1:1" ht="12.95">
      <c r="A103" s="61"/>
    </row>
    <row r="104" spans="1:1" ht="12.95">
      <c r="A104" s="61"/>
    </row>
    <row r="105" spans="1:1" ht="12.95">
      <c r="A105" s="61"/>
    </row>
    <row r="106" spans="1:1" ht="12.95">
      <c r="A106" s="61"/>
    </row>
    <row r="107" spans="1:1" ht="12.95">
      <c r="A107" s="61"/>
    </row>
    <row r="108" spans="1:1" ht="12.95">
      <c r="A108" s="61"/>
    </row>
    <row r="109" spans="1:1" ht="12.95">
      <c r="A109" s="61"/>
    </row>
    <row r="110" spans="1:1" ht="12.95">
      <c r="A110" s="61"/>
    </row>
    <row r="111" spans="1:1" ht="12.95">
      <c r="A111" s="61"/>
    </row>
    <row r="112" spans="1:1" ht="12.95">
      <c r="A112" s="61"/>
    </row>
    <row r="113" spans="1:1" ht="12.95">
      <c r="A113" s="61"/>
    </row>
    <row r="114" spans="1:1" ht="12.95">
      <c r="A114" s="61"/>
    </row>
    <row r="115" spans="1:1" ht="12.95">
      <c r="A115" s="61"/>
    </row>
    <row r="116" spans="1:1" ht="12.95">
      <c r="A116" s="61"/>
    </row>
    <row r="117" spans="1:1" ht="12.95">
      <c r="A117" s="61"/>
    </row>
    <row r="118" spans="1:1" ht="12.95">
      <c r="A118" s="61"/>
    </row>
    <row r="119" spans="1:1" ht="12.95">
      <c r="A119" s="61"/>
    </row>
    <row r="120" spans="1:1" ht="12.95">
      <c r="A120" s="61"/>
    </row>
    <row r="121" spans="1:1" ht="12.95">
      <c r="A121" s="61"/>
    </row>
    <row r="122" spans="1:1" ht="12.95">
      <c r="A122" s="61"/>
    </row>
    <row r="123" spans="1:1" ht="12.95">
      <c r="A123" s="61"/>
    </row>
    <row r="124" spans="1:1" ht="12.95">
      <c r="A124" s="61"/>
    </row>
    <row r="125" spans="1:1" ht="12.95">
      <c r="A125" s="61"/>
    </row>
    <row r="126" spans="1:1" ht="12.95">
      <c r="A126" s="61"/>
    </row>
    <row r="127" spans="1:1" ht="12.95">
      <c r="A127" s="61"/>
    </row>
    <row r="128" spans="1:1" ht="12.95">
      <c r="A128" s="61"/>
    </row>
    <row r="129" spans="1:1" ht="12.95">
      <c r="A129" s="61"/>
    </row>
    <row r="130" spans="1:1" ht="12.95">
      <c r="A130" s="61"/>
    </row>
    <row r="131" spans="1:1" ht="12.95">
      <c r="A131" s="61"/>
    </row>
    <row r="132" spans="1:1" ht="12.95">
      <c r="A132" s="61"/>
    </row>
    <row r="133" spans="1:1" ht="12.95">
      <c r="A133" s="61"/>
    </row>
    <row r="134" spans="1:1" ht="12.95">
      <c r="A134" s="61"/>
    </row>
    <row r="135" spans="1:1" ht="12.95">
      <c r="A135" s="61"/>
    </row>
    <row r="136" spans="1:1" ht="12.95">
      <c r="A136" s="61"/>
    </row>
    <row r="137" spans="1:1" ht="12.95">
      <c r="A137" s="61"/>
    </row>
    <row r="138" spans="1:1" ht="12.95">
      <c r="A138" s="61"/>
    </row>
    <row r="139" spans="1:1" ht="12.95">
      <c r="A139" s="61"/>
    </row>
    <row r="140" spans="1:1" ht="12.95">
      <c r="A140" s="61"/>
    </row>
    <row r="141" spans="1:1" ht="12.95">
      <c r="A141" s="61"/>
    </row>
    <row r="142" spans="1:1" ht="12.95">
      <c r="A142" s="61"/>
    </row>
    <row r="143" spans="1:1" ht="12.95">
      <c r="A143" s="61"/>
    </row>
    <row r="144" spans="1:1" ht="12.95">
      <c r="A144" s="61"/>
    </row>
    <row r="145" spans="1:1" ht="12.95">
      <c r="A145" s="61"/>
    </row>
    <row r="146" spans="1:1" ht="12.95">
      <c r="A146" s="61"/>
    </row>
    <row r="147" spans="1:1" ht="12.95">
      <c r="A147" s="61"/>
    </row>
    <row r="148" spans="1:1" ht="12.95">
      <c r="A148" s="61"/>
    </row>
    <row r="149" spans="1:1" ht="12.95">
      <c r="A149" s="61"/>
    </row>
    <row r="150" spans="1:1" ht="12.95">
      <c r="A150" s="61"/>
    </row>
    <row r="151" spans="1:1" ht="12.95">
      <c r="A151" s="61"/>
    </row>
    <row r="152" spans="1:1" ht="12.95">
      <c r="A152" s="61"/>
    </row>
    <row r="153" spans="1:1" ht="12.95">
      <c r="A153" s="61"/>
    </row>
    <row r="154" spans="1:1" ht="12.95">
      <c r="A154" s="61"/>
    </row>
    <row r="155" spans="1:1" ht="12.95">
      <c r="A155" s="61"/>
    </row>
    <row r="156" spans="1:1" ht="12.95">
      <c r="A156" s="61"/>
    </row>
    <row r="157" spans="1:1" ht="12.95">
      <c r="A157" s="61"/>
    </row>
    <row r="158" spans="1:1" ht="12.95">
      <c r="A158" s="61"/>
    </row>
    <row r="159" spans="1:1" ht="12.95">
      <c r="A159" s="61"/>
    </row>
    <row r="160" spans="1:1" ht="12.95">
      <c r="A160" s="61"/>
    </row>
    <row r="161" spans="1:1" ht="12.95">
      <c r="A161" s="61"/>
    </row>
    <row r="162" spans="1:1" ht="12.95">
      <c r="A162" s="61"/>
    </row>
    <row r="163" spans="1:1" ht="12.95">
      <c r="A163" s="61"/>
    </row>
    <row r="164" spans="1:1" ht="12.95">
      <c r="A164" s="61"/>
    </row>
    <row r="165" spans="1:1" ht="12.95">
      <c r="A165" s="61"/>
    </row>
    <row r="166" spans="1:1" ht="12.95">
      <c r="A166" s="61"/>
    </row>
    <row r="167" spans="1:1" ht="12.95">
      <c r="A167" s="61"/>
    </row>
    <row r="168" spans="1:1" ht="12.95">
      <c r="A168" s="61"/>
    </row>
    <row r="169" spans="1:1" ht="12.95">
      <c r="A169" s="61"/>
    </row>
    <row r="170" spans="1:1" ht="12.95">
      <c r="A170" s="61"/>
    </row>
    <row r="171" spans="1:1" ht="12.95">
      <c r="A171" s="61"/>
    </row>
    <row r="172" spans="1:1" ht="12.95">
      <c r="A172" s="61"/>
    </row>
    <row r="173" spans="1:1" ht="12.95">
      <c r="A173" s="61"/>
    </row>
    <row r="174" spans="1:1" ht="12.95">
      <c r="A174" s="61"/>
    </row>
    <row r="175" spans="1:1" ht="12.95">
      <c r="A175" s="61"/>
    </row>
    <row r="176" spans="1:1" ht="12.95">
      <c r="A176" s="61"/>
    </row>
    <row r="177" spans="1:1" ht="12.95">
      <c r="A177" s="61"/>
    </row>
    <row r="178" spans="1:1" ht="12.95">
      <c r="A178" s="61"/>
    </row>
    <row r="179" spans="1:1" ht="12.95">
      <c r="A179" s="61"/>
    </row>
    <row r="180" spans="1:1" ht="12.95">
      <c r="A180" s="61"/>
    </row>
    <row r="181" spans="1:1" ht="12.95">
      <c r="A181" s="61"/>
    </row>
    <row r="182" spans="1:1" ht="12.95">
      <c r="A182" s="61"/>
    </row>
    <row r="183" spans="1:1" ht="12.95">
      <c r="A183" s="61"/>
    </row>
    <row r="184" spans="1:1" ht="12.95">
      <c r="A184" s="61"/>
    </row>
    <row r="185" spans="1:1" ht="12.95">
      <c r="A185" s="61"/>
    </row>
    <row r="186" spans="1:1" ht="12.95">
      <c r="A186" s="61"/>
    </row>
    <row r="187" spans="1:1" ht="12.95">
      <c r="A187" s="61"/>
    </row>
    <row r="188" spans="1:1" ht="12.95">
      <c r="A188" s="61"/>
    </row>
    <row r="189" spans="1:1" ht="12.95">
      <c r="A189" s="61"/>
    </row>
    <row r="190" spans="1:1" ht="12.95">
      <c r="A190" s="61"/>
    </row>
    <row r="191" spans="1:1" ht="12.95">
      <c r="A191" s="61"/>
    </row>
    <row r="192" spans="1:1" ht="12.95">
      <c r="A192" s="61"/>
    </row>
    <row r="193" spans="1:1" ht="12.95">
      <c r="A193" s="61"/>
    </row>
    <row r="194" spans="1:1" ht="12.95">
      <c r="A194" s="61"/>
    </row>
    <row r="195" spans="1:1" ht="12.95">
      <c r="A195" s="61"/>
    </row>
    <row r="196" spans="1:1" ht="12.95">
      <c r="A196" s="61"/>
    </row>
    <row r="197" spans="1:1" ht="12.95">
      <c r="A197" s="61"/>
    </row>
    <row r="198" spans="1:1" ht="12.95">
      <c r="A198" s="61"/>
    </row>
    <row r="199" spans="1:1" ht="12.95">
      <c r="A199" s="61"/>
    </row>
    <row r="200" spans="1:1" ht="12.95">
      <c r="A200" s="61"/>
    </row>
    <row r="201" spans="1:1" ht="12.95">
      <c r="A201" s="61"/>
    </row>
    <row r="202" spans="1:1" ht="12.95">
      <c r="A202" s="61"/>
    </row>
    <row r="203" spans="1:1" ht="12.95">
      <c r="A203" s="61"/>
    </row>
    <row r="204" spans="1:1" ht="12.95">
      <c r="A204" s="61"/>
    </row>
    <row r="205" spans="1:1" ht="12.95">
      <c r="A205" s="61"/>
    </row>
    <row r="206" spans="1:1" ht="12.95">
      <c r="A206" s="61"/>
    </row>
    <row r="207" spans="1:1" ht="12.95">
      <c r="A207" s="61"/>
    </row>
    <row r="208" spans="1:1" ht="12.95">
      <c r="A208" s="61"/>
    </row>
    <row r="209" spans="1:1" ht="12.95">
      <c r="A209" s="61"/>
    </row>
    <row r="210" spans="1:1" ht="12.95">
      <c r="A210" s="61"/>
    </row>
    <row r="211" spans="1:1" ht="12.95">
      <c r="A211" s="61"/>
    </row>
    <row r="212" spans="1:1" ht="12.95">
      <c r="A212" s="61"/>
    </row>
    <row r="213" spans="1:1" ht="12.95">
      <c r="A213" s="61"/>
    </row>
    <row r="214" spans="1:1" ht="12.95">
      <c r="A214" s="61"/>
    </row>
    <row r="215" spans="1:1" ht="12.95">
      <c r="A215" s="61"/>
    </row>
    <row r="216" spans="1:1" ht="12.95">
      <c r="A216" s="61"/>
    </row>
    <row r="217" spans="1:1" ht="12.95">
      <c r="A217" s="61"/>
    </row>
    <row r="218" spans="1:1" ht="12.95">
      <c r="A218" s="61"/>
    </row>
    <row r="219" spans="1:1" ht="12.95">
      <c r="A219" s="61"/>
    </row>
    <row r="220" spans="1:1" ht="12.95">
      <c r="A220" s="61"/>
    </row>
    <row r="221" spans="1:1" ht="12.95">
      <c r="A221" s="61"/>
    </row>
    <row r="222" spans="1:1" ht="12.95">
      <c r="A222" s="61"/>
    </row>
    <row r="223" spans="1:1" ht="12.95">
      <c r="A223" s="61"/>
    </row>
    <row r="224" spans="1:1" ht="12.95">
      <c r="A224" s="61"/>
    </row>
    <row r="225" spans="1:1" ht="12.95">
      <c r="A225" s="61"/>
    </row>
    <row r="226" spans="1:1" ht="12.95">
      <c r="A226" s="61"/>
    </row>
    <row r="227" spans="1:1" ht="12.95">
      <c r="A227" s="61"/>
    </row>
    <row r="228" spans="1:1" ht="12.95">
      <c r="A228" s="61"/>
    </row>
    <row r="229" spans="1:1" ht="12.95">
      <c r="A229" s="61"/>
    </row>
    <row r="230" spans="1:1" ht="12.95">
      <c r="A230" s="61"/>
    </row>
    <row r="231" spans="1:1" ht="12.95">
      <c r="A231" s="61"/>
    </row>
    <row r="232" spans="1:1" ht="12.95">
      <c r="A232" s="61"/>
    </row>
    <row r="233" spans="1:1" ht="12.95">
      <c r="A233" s="61"/>
    </row>
    <row r="234" spans="1:1" ht="12.95">
      <c r="A234" s="61"/>
    </row>
    <row r="235" spans="1:1" ht="12.95">
      <c r="A235" s="61"/>
    </row>
    <row r="236" spans="1:1" ht="12.95">
      <c r="A236" s="61"/>
    </row>
    <row r="237" spans="1:1" ht="12.95">
      <c r="A237" s="61"/>
    </row>
    <row r="238" spans="1:1" ht="12.95">
      <c r="A238" s="61"/>
    </row>
    <row r="239" spans="1:1" ht="12.95">
      <c r="A239" s="61"/>
    </row>
    <row r="240" spans="1:1" ht="12.95">
      <c r="A240" s="61"/>
    </row>
    <row r="241" spans="1:1" ht="12.95">
      <c r="A241" s="61"/>
    </row>
    <row r="242" spans="1:1" ht="12.95">
      <c r="A242" s="61"/>
    </row>
    <row r="243" spans="1:1" ht="12.95">
      <c r="A243" s="61"/>
    </row>
    <row r="244" spans="1:1" ht="12.95">
      <c r="A244" s="61"/>
    </row>
    <row r="245" spans="1:1" ht="12.95">
      <c r="A245" s="61"/>
    </row>
    <row r="246" spans="1:1" ht="12.95">
      <c r="A246" s="61"/>
    </row>
    <row r="247" spans="1:1" ht="12.95">
      <c r="A247" s="61"/>
    </row>
    <row r="248" spans="1:1" ht="12.95">
      <c r="A248" s="61"/>
    </row>
    <row r="249" spans="1:1" ht="12.95">
      <c r="A249" s="61"/>
    </row>
    <row r="250" spans="1:1" ht="12.95">
      <c r="A250" s="61"/>
    </row>
    <row r="251" spans="1:1" ht="12.95">
      <c r="A251" s="61"/>
    </row>
    <row r="252" spans="1:1" ht="12.95">
      <c r="A252" s="61"/>
    </row>
    <row r="253" spans="1:1" ht="12.95">
      <c r="A253" s="61"/>
    </row>
    <row r="254" spans="1:1" ht="12.95">
      <c r="A254" s="61"/>
    </row>
    <row r="255" spans="1:1" ht="12.95">
      <c r="A255" s="61"/>
    </row>
    <row r="256" spans="1:1" ht="12.95">
      <c r="A256" s="61"/>
    </row>
    <row r="257" spans="1:1" ht="12.95">
      <c r="A257" s="61"/>
    </row>
    <row r="258" spans="1:1" ht="12.95">
      <c r="A258" s="61"/>
    </row>
    <row r="259" spans="1:1" ht="12.95">
      <c r="A259" s="61"/>
    </row>
    <row r="260" spans="1:1" ht="12.95">
      <c r="A260" s="61"/>
    </row>
    <row r="261" spans="1:1" ht="12.95">
      <c r="A261" s="61"/>
    </row>
    <row r="262" spans="1:1" ht="12.95">
      <c r="A262" s="61"/>
    </row>
    <row r="263" spans="1:1" ht="12.95">
      <c r="A263" s="61"/>
    </row>
    <row r="264" spans="1:1" ht="12.95">
      <c r="A264" s="61"/>
    </row>
    <row r="265" spans="1:1" ht="12.95">
      <c r="A265" s="61"/>
    </row>
    <row r="266" spans="1:1" ht="12.95">
      <c r="A266" s="61"/>
    </row>
    <row r="267" spans="1:1" ht="12.95">
      <c r="A267" s="61"/>
    </row>
    <row r="268" spans="1:1" ht="12.95">
      <c r="A268" s="61"/>
    </row>
    <row r="269" spans="1:1" ht="12.95">
      <c r="A269" s="61"/>
    </row>
    <row r="270" spans="1:1" ht="12.95">
      <c r="A270" s="61"/>
    </row>
    <row r="271" spans="1:1" ht="12.95">
      <c r="A271" s="61"/>
    </row>
    <row r="272" spans="1:1" ht="12.95">
      <c r="A272" s="61"/>
    </row>
    <row r="273" spans="1:1" ht="12.95">
      <c r="A273" s="61"/>
    </row>
    <row r="274" spans="1:1" ht="12.95">
      <c r="A274" s="61"/>
    </row>
    <row r="275" spans="1:1" ht="12.95">
      <c r="A275" s="61"/>
    </row>
    <row r="276" spans="1:1" ht="12.95">
      <c r="A276" s="61"/>
    </row>
    <row r="277" spans="1:1" ht="12.95">
      <c r="A277" s="61"/>
    </row>
    <row r="278" spans="1:1" ht="12.95">
      <c r="A278" s="61"/>
    </row>
    <row r="279" spans="1:1" ht="12.95">
      <c r="A279" s="61"/>
    </row>
    <row r="280" spans="1:1" ht="12.95">
      <c r="A280" s="61"/>
    </row>
    <row r="281" spans="1:1" ht="12.95">
      <c r="A281" s="61"/>
    </row>
    <row r="282" spans="1:1" ht="12.95">
      <c r="A282" s="61"/>
    </row>
    <row r="283" spans="1:1" ht="12.95">
      <c r="A283" s="61"/>
    </row>
    <row r="284" spans="1:1" ht="12.95">
      <c r="A284" s="61"/>
    </row>
    <row r="285" spans="1:1" ht="12.95">
      <c r="A285" s="61"/>
    </row>
    <row r="286" spans="1:1" ht="12.95">
      <c r="A286" s="61"/>
    </row>
    <row r="287" spans="1:1" ht="12.95">
      <c r="A287" s="61"/>
    </row>
    <row r="288" spans="1:1" ht="12.95">
      <c r="A288" s="61"/>
    </row>
    <row r="289" spans="1:1" ht="12.95">
      <c r="A289" s="61"/>
    </row>
    <row r="290" spans="1:1" ht="12.95">
      <c r="A290" s="61"/>
    </row>
    <row r="291" spans="1:1" ht="12.95">
      <c r="A291" s="61"/>
    </row>
    <row r="292" spans="1:1" ht="12.95">
      <c r="A292" s="61"/>
    </row>
    <row r="293" spans="1:1" ht="12.95">
      <c r="A293" s="61"/>
    </row>
    <row r="294" spans="1:1" ht="12.95">
      <c r="A294" s="61"/>
    </row>
    <row r="295" spans="1:1" ht="12.95">
      <c r="A295" s="61"/>
    </row>
    <row r="296" spans="1:1" ht="12.95">
      <c r="A296" s="61"/>
    </row>
    <row r="297" spans="1:1" ht="12.95">
      <c r="A297" s="61"/>
    </row>
    <row r="298" spans="1:1" ht="12.95">
      <c r="A298" s="61"/>
    </row>
    <row r="299" spans="1:1" ht="12.95">
      <c r="A299" s="61"/>
    </row>
    <row r="300" spans="1:1" ht="12.95">
      <c r="A300" s="61"/>
    </row>
    <row r="301" spans="1:1" ht="12.95">
      <c r="A301" s="61"/>
    </row>
    <row r="302" spans="1:1" ht="12.95">
      <c r="A302" s="61"/>
    </row>
    <row r="303" spans="1:1" ht="12.95">
      <c r="A303" s="61"/>
    </row>
    <row r="304" spans="1:1" ht="12.95">
      <c r="A304" s="61"/>
    </row>
    <row r="305" spans="1:1" ht="12.95">
      <c r="A305" s="61"/>
    </row>
    <row r="306" spans="1:1" ht="12.95">
      <c r="A306" s="61"/>
    </row>
    <row r="307" spans="1:1" ht="12.95">
      <c r="A307" s="61"/>
    </row>
    <row r="308" spans="1:1" ht="12.95">
      <c r="A308" s="61"/>
    </row>
    <row r="309" spans="1:1" ht="12.95">
      <c r="A309" s="61"/>
    </row>
    <row r="310" spans="1:1" ht="12.95">
      <c r="A310" s="61"/>
    </row>
    <row r="311" spans="1:1" ht="12.95">
      <c r="A311" s="61"/>
    </row>
    <row r="312" spans="1:1" ht="12.95">
      <c r="A312" s="61"/>
    </row>
    <row r="313" spans="1:1" ht="12.95">
      <c r="A313" s="61"/>
    </row>
    <row r="314" spans="1:1" ht="12.95">
      <c r="A314" s="61"/>
    </row>
    <row r="315" spans="1:1" ht="12.95">
      <c r="A315" s="61"/>
    </row>
    <row r="316" spans="1:1" ht="12.95">
      <c r="A316" s="61"/>
    </row>
    <row r="317" spans="1:1" ht="12.95">
      <c r="A317" s="61"/>
    </row>
    <row r="318" spans="1:1" ht="12.95">
      <c r="A318" s="61"/>
    </row>
    <row r="319" spans="1:1" ht="12.95">
      <c r="A319" s="61"/>
    </row>
    <row r="320" spans="1:1" ht="12.95">
      <c r="A320" s="61"/>
    </row>
    <row r="321" spans="1:1" ht="12.95">
      <c r="A321" s="61"/>
    </row>
    <row r="322" spans="1:1" ht="12.95">
      <c r="A322" s="61"/>
    </row>
    <row r="323" spans="1:1" ht="12.95">
      <c r="A323" s="61"/>
    </row>
    <row r="324" spans="1:1" ht="12.95">
      <c r="A324" s="61"/>
    </row>
    <row r="325" spans="1:1" ht="12.95">
      <c r="A325" s="61"/>
    </row>
    <row r="326" spans="1:1" ht="12.95">
      <c r="A326" s="61"/>
    </row>
    <row r="327" spans="1:1" ht="12.95">
      <c r="A327" s="61"/>
    </row>
    <row r="328" spans="1:1" ht="12.95">
      <c r="A328" s="61"/>
    </row>
    <row r="329" spans="1:1" ht="12.95">
      <c r="A329" s="61"/>
    </row>
    <row r="330" spans="1:1" ht="12.95">
      <c r="A330" s="61"/>
    </row>
    <row r="331" spans="1:1" ht="12.95">
      <c r="A331" s="61"/>
    </row>
    <row r="332" spans="1:1" ht="12.95">
      <c r="A332" s="61"/>
    </row>
    <row r="333" spans="1:1" ht="12.95">
      <c r="A333" s="61"/>
    </row>
    <row r="334" spans="1:1" ht="12.95">
      <c r="A334" s="61"/>
    </row>
    <row r="335" spans="1:1" ht="12.95">
      <c r="A335" s="61"/>
    </row>
    <row r="336" spans="1:1" ht="12.95">
      <c r="A336" s="61"/>
    </row>
    <row r="337" spans="1:1" ht="12.95">
      <c r="A337" s="61"/>
    </row>
    <row r="338" spans="1:1" ht="12.95">
      <c r="A338" s="61"/>
    </row>
    <row r="339" spans="1:1" ht="12.95">
      <c r="A339" s="61"/>
    </row>
    <row r="340" spans="1:1" ht="12.95">
      <c r="A340" s="61"/>
    </row>
    <row r="341" spans="1:1" ht="12.95">
      <c r="A341" s="61"/>
    </row>
    <row r="342" spans="1:1" ht="12.95">
      <c r="A342" s="61"/>
    </row>
    <row r="343" spans="1:1" ht="12.95">
      <c r="A343" s="61"/>
    </row>
    <row r="344" spans="1:1" ht="12.95">
      <c r="A344" s="61"/>
    </row>
    <row r="345" spans="1:1" ht="12.95">
      <c r="A345" s="61"/>
    </row>
    <row r="346" spans="1:1" ht="12.95">
      <c r="A346" s="61"/>
    </row>
    <row r="347" spans="1:1" ht="12.95">
      <c r="A347" s="61"/>
    </row>
    <row r="348" spans="1:1" ht="12.95">
      <c r="A348" s="61"/>
    </row>
    <row r="349" spans="1:1" ht="12.95">
      <c r="A349" s="61"/>
    </row>
    <row r="350" spans="1:1" ht="12.95">
      <c r="A350" s="61"/>
    </row>
    <row r="351" spans="1:1" ht="12.95">
      <c r="A351" s="61"/>
    </row>
    <row r="352" spans="1:1" ht="12.95">
      <c r="A352" s="61"/>
    </row>
    <row r="353" spans="1:1" ht="12.95">
      <c r="A353" s="61"/>
    </row>
    <row r="354" spans="1:1" ht="12.95">
      <c r="A354" s="61"/>
    </row>
    <row r="355" spans="1:1" ht="12.95">
      <c r="A355" s="61"/>
    </row>
    <row r="356" spans="1:1" ht="12.95">
      <c r="A356" s="61"/>
    </row>
    <row r="357" spans="1:1" ht="12.95">
      <c r="A357" s="61"/>
    </row>
    <row r="358" spans="1:1" ht="12.95">
      <c r="A358" s="61"/>
    </row>
    <row r="359" spans="1:1" ht="12.95">
      <c r="A359" s="61"/>
    </row>
    <row r="360" spans="1:1" ht="12.95">
      <c r="A360" s="61"/>
    </row>
    <row r="361" spans="1:1" ht="12.95">
      <c r="A361" s="61"/>
    </row>
    <row r="362" spans="1:1" ht="12.95">
      <c r="A362" s="61"/>
    </row>
    <row r="363" spans="1:1" ht="12.95">
      <c r="A363" s="61"/>
    </row>
    <row r="364" spans="1:1" ht="12.95">
      <c r="A364" s="61"/>
    </row>
    <row r="365" spans="1:1" ht="12.95">
      <c r="A365" s="61"/>
    </row>
    <row r="366" spans="1:1" ht="12.95">
      <c r="A366" s="61"/>
    </row>
    <row r="367" spans="1:1" ht="12.95">
      <c r="A367" s="61"/>
    </row>
    <row r="368" spans="1:1" ht="12.95">
      <c r="A368" s="61"/>
    </row>
    <row r="369" spans="1:1" ht="12.95">
      <c r="A369" s="61"/>
    </row>
    <row r="370" spans="1:1" ht="12.95">
      <c r="A370" s="61"/>
    </row>
    <row r="371" spans="1:1" ht="12.95">
      <c r="A371" s="61"/>
    </row>
    <row r="372" spans="1:1" ht="12.95">
      <c r="A372" s="61"/>
    </row>
    <row r="373" spans="1:1" ht="12.95">
      <c r="A373" s="61"/>
    </row>
    <row r="374" spans="1:1" ht="12.95">
      <c r="A374" s="61"/>
    </row>
    <row r="375" spans="1:1" ht="12.95">
      <c r="A375" s="61"/>
    </row>
    <row r="376" spans="1:1" ht="12.95">
      <c r="A376" s="61"/>
    </row>
    <row r="377" spans="1:1" ht="12.95">
      <c r="A377" s="61"/>
    </row>
    <row r="378" spans="1:1" ht="12.95">
      <c r="A378" s="61"/>
    </row>
    <row r="379" spans="1:1" ht="12.95">
      <c r="A379" s="61"/>
    </row>
    <row r="380" spans="1:1" ht="12.95">
      <c r="A380" s="61"/>
    </row>
    <row r="381" spans="1:1" ht="12.95">
      <c r="A381" s="61"/>
    </row>
    <row r="382" spans="1:1" ht="12.95">
      <c r="A382" s="61"/>
    </row>
    <row r="383" spans="1:1" ht="12.95">
      <c r="A383" s="61"/>
    </row>
    <row r="384" spans="1:1" ht="12.95">
      <c r="A384" s="61"/>
    </row>
    <row r="385" spans="1:1" ht="12.95">
      <c r="A385" s="61"/>
    </row>
    <row r="386" spans="1:1" ht="12.95">
      <c r="A386" s="61"/>
    </row>
    <row r="387" spans="1:1" ht="12.95">
      <c r="A387" s="61"/>
    </row>
    <row r="388" spans="1:1" ht="12.95">
      <c r="A388" s="61"/>
    </row>
    <row r="389" spans="1:1" ht="12.95">
      <c r="A389" s="61"/>
    </row>
    <row r="390" spans="1:1" ht="12.95">
      <c r="A390" s="61"/>
    </row>
    <row r="391" spans="1:1" ht="12.95">
      <c r="A391" s="61"/>
    </row>
    <row r="392" spans="1:1" ht="12.95">
      <c r="A392" s="61"/>
    </row>
    <row r="393" spans="1:1" ht="12.95">
      <c r="A393" s="61"/>
    </row>
    <row r="394" spans="1:1" ht="12.95">
      <c r="A394" s="61"/>
    </row>
    <row r="395" spans="1:1" ht="12.95">
      <c r="A395" s="61"/>
    </row>
    <row r="396" spans="1:1" ht="12.95">
      <c r="A396" s="61"/>
    </row>
    <row r="397" spans="1:1" ht="12.95">
      <c r="A397" s="61"/>
    </row>
    <row r="398" spans="1:1" ht="12.95">
      <c r="A398" s="61"/>
    </row>
    <row r="399" spans="1:1" ht="12.95">
      <c r="A399" s="61"/>
    </row>
    <row r="400" spans="1:1" ht="12.95">
      <c r="A400" s="61"/>
    </row>
    <row r="401" spans="1:1" ht="12.95">
      <c r="A401" s="61"/>
    </row>
    <row r="402" spans="1:1" ht="12.95">
      <c r="A402" s="61"/>
    </row>
    <row r="403" spans="1:1" ht="12.95">
      <c r="A403" s="61"/>
    </row>
    <row r="404" spans="1:1" ht="12.95">
      <c r="A404" s="61"/>
    </row>
    <row r="405" spans="1:1" ht="12.95">
      <c r="A405" s="61"/>
    </row>
    <row r="406" spans="1:1" ht="12.95">
      <c r="A406" s="61"/>
    </row>
    <row r="407" spans="1:1" ht="12.95">
      <c r="A407" s="61"/>
    </row>
    <row r="408" spans="1:1" ht="12.95">
      <c r="A408" s="61"/>
    </row>
    <row r="409" spans="1:1" ht="12.95">
      <c r="A409" s="61"/>
    </row>
    <row r="410" spans="1:1" ht="12.95">
      <c r="A410" s="61"/>
    </row>
    <row r="411" spans="1:1" ht="12.95">
      <c r="A411" s="61"/>
    </row>
    <row r="412" spans="1:1" ht="12.95">
      <c r="A412" s="61"/>
    </row>
    <row r="413" spans="1:1" ht="12.95">
      <c r="A413" s="61"/>
    </row>
    <row r="414" spans="1:1" ht="12.95">
      <c r="A414" s="61"/>
    </row>
    <row r="415" spans="1:1" ht="12.95">
      <c r="A415" s="61"/>
    </row>
    <row r="416" spans="1:1" ht="12.95">
      <c r="A416" s="61"/>
    </row>
    <row r="417" spans="1:1" ht="12.95">
      <c r="A417" s="61"/>
    </row>
    <row r="418" spans="1:1" ht="12.95">
      <c r="A418" s="61"/>
    </row>
    <row r="419" spans="1:1" ht="12.95">
      <c r="A419" s="61"/>
    </row>
    <row r="420" spans="1:1" ht="12.95">
      <c r="A420" s="61"/>
    </row>
    <row r="421" spans="1:1" ht="12.95">
      <c r="A421" s="61"/>
    </row>
    <row r="422" spans="1:1" ht="12.95">
      <c r="A422" s="61"/>
    </row>
    <row r="423" spans="1:1" ht="12.95">
      <c r="A423" s="61"/>
    </row>
    <row r="424" spans="1:1" ht="12.95">
      <c r="A424" s="61"/>
    </row>
    <row r="425" spans="1:1" ht="12.95">
      <c r="A425" s="61"/>
    </row>
    <row r="426" spans="1:1" ht="12.95">
      <c r="A426" s="61"/>
    </row>
    <row r="427" spans="1:1" ht="12.95">
      <c r="A427" s="61"/>
    </row>
    <row r="428" spans="1:1" ht="12.95">
      <c r="A428" s="61"/>
    </row>
    <row r="429" spans="1:1" ht="12.95">
      <c r="A429" s="61"/>
    </row>
    <row r="430" spans="1:1" ht="12.95">
      <c r="A430" s="61"/>
    </row>
    <row r="431" spans="1:1" ht="12.95">
      <c r="A431" s="61"/>
    </row>
    <row r="432" spans="1:1" ht="12.95">
      <c r="A432" s="61"/>
    </row>
    <row r="433" spans="1:1" ht="12.95">
      <c r="A433" s="61"/>
    </row>
    <row r="434" spans="1:1" ht="12.95">
      <c r="A434" s="61"/>
    </row>
    <row r="435" spans="1:1" ht="12.95">
      <c r="A435" s="61"/>
    </row>
    <row r="436" spans="1:1" ht="12.95">
      <c r="A436" s="61"/>
    </row>
    <row r="437" spans="1:1" ht="12.95">
      <c r="A437" s="61"/>
    </row>
    <row r="438" spans="1:1" ht="12.95">
      <c r="A438" s="61"/>
    </row>
    <row r="439" spans="1:1" ht="12.95">
      <c r="A439" s="61"/>
    </row>
    <row r="440" spans="1:1" ht="12.95">
      <c r="A440" s="61"/>
    </row>
    <row r="441" spans="1:1" ht="12.95">
      <c r="A441" s="61"/>
    </row>
    <row r="442" spans="1:1" ht="12.95">
      <c r="A442" s="61"/>
    </row>
    <row r="443" spans="1:1" ht="12.95">
      <c r="A443" s="61"/>
    </row>
    <row r="444" spans="1:1" ht="12.95">
      <c r="A444" s="61"/>
    </row>
    <row r="445" spans="1:1" ht="12.95">
      <c r="A445" s="61"/>
    </row>
    <row r="446" spans="1:1" ht="12.95">
      <c r="A446" s="61"/>
    </row>
    <row r="447" spans="1:1" ht="12.95">
      <c r="A447" s="61"/>
    </row>
    <row r="448" spans="1:1" ht="12.95">
      <c r="A448" s="61"/>
    </row>
    <row r="449" spans="1:1" ht="12.95">
      <c r="A449" s="61"/>
    </row>
    <row r="450" spans="1:1" ht="12.95">
      <c r="A450" s="61"/>
    </row>
    <row r="451" spans="1:1" ht="12.95">
      <c r="A451" s="61"/>
    </row>
    <row r="452" spans="1:1" ht="12.95">
      <c r="A452" s="61"/>
    </row>
    <row r="453" spans="1:1" ht="12.95">
      <c r="A453" s="61"/>
    </row>
    <row r="454" spans="1:1" ht="12.95">
      <c r="A454" s="61"/>
    </row>
    <row r="455" spans="1:1" ht="12.95">
      <c r="A455" s="61"/>
    </row>
    <row r="456" spans="1:1" ht="12.95">
      <c r="A456" s="61"/>
    </row>
    <row r="457" spans="1:1" ht="12.95">
      <c r="A457" s="61"/>
    </row>
    <row r="458" spans="1:1" ht="12.95">
      <c r="A458" s="61"/>
    </row>
    <row r="459" spans="1:1" ht="12.95">
      <c r="A459" s="61"/>
    </row>
    <row r="460" spans="1:1" ht="12.95">
      <c r="A460" s="61"/>
    </row>
    <row r="461" spans="1:1" ht="12.95">
      <c r="A461" s="61"/>
    </row>
    <row r="462" spans="1:1" ht="12.95">
      <c r="A462" s="61"/>
    </row>
    <row r="463" spans="1:1" ht="12.95">
      <c r="A463" s="61"/>
    </row>
    <row r="464" spans="1:1" ht="12.95">
      <c r="A464" s="61"/>
    </row>
    <row r="465" spans="1:1" ht="12.95">
      <c r="A465" s="61"/>
    </row>
    <row r="466" spans="1:1" ht="12.95">
      <c r="A466" s="61"/>
    </row>
    <row r="467" spans="1:1" ht="12.95">
      <c r="A467" s="61"/>
    </row>
    <row r="468" spans="1:1" ht="12.95">
      <c r="A468" s="61"/>
    </row>
    <row r="469" spans="1:1" ht="12.95">
      <c r="A469" s="61"/>
    </row>
    <row r="470" spans="1:1" ht="12.95">
      <c r="A470" s="61"/>
    </row>
    <row r="471" spans="1:1" ht="12.95">
      <c r="A471" s="61"/>
    </row>
    <row r="472" spans="1:1" ht="12.95">
      <c r="A472" s="61"/>
    </row>
    <row r="473" spans="1:1" ht="12.95">
      <c r="A473" s="61"/>
    </row>
    <row r="474" spans="1:1" ht="12.95">
      <c r="A474" s="61"/>
    </row>
    <row r="475" spans="1:1" ht="12.95">
      <c r="A475" s="61"/>
    </row>
    <row r="476" spans="1:1" ht="12.95">
      <c r="A476" s="61"/>
    </row>
    <row r="477" spans="1:1" ht="12.95">
      <c r="A477" s="61"/>
    </row>
    <row r="478" spans="1:1" ht="12.95">
      <c r="A478" s="61"/>
    </row>
    <row r="479" spans="1:1" ht="12.95">
      <c r="A479" s="61"/>
    </row>
    <row r="480" spans="1:1" ht="12.95">
      <c r="A480" s="61"/>
    </row>
    <row r="481" spans="1:1" ht="12.95">
      <c r="A481" s="61"/>
    </row>
    <row r="482" spans="1:1" ht="12.95">
      <c r="A482" s="61"/>
    </row>
    <row r="483" spans="1:1" ht="12.95">
      <c r="A483" s="61"/>
    </row>
    <row r="484" spans="1:1" ht="12.95">
      <c r="A484" s="61"/>
    </row>
    <row r="485" spans="1:1" ht="12.95">
      <c r="A485" s="61"/>
    </row>
    <row r="486" spans="1:1" ht="12.95">
      <c r="A486" s="61"/>
    </row>
    <row r="487" spans="1:1" ht="12.95">
      <c r="A487" s="61"/>
    </row>
    <row r="488" spans="1:1" ht="12.95">
      <c r="A488" s="61"/>
    </row>
    <row r="489" spans="1:1" ht="12.95">
      <c r="A489" s="61"/>
    </row>
    <row r="490" spans="1:1" ht="12.95">
      <c r="A490" s="61"/>
    </row>
    <row r="491" spans="1:1" ht="12.95">
      <c r="A491" s="61"/>
    </row>
    <row r="492" spans="1:1" ht="12.95">
      <c r="A492" s="61"/>
    </row>
    <row r="493" spans="1:1" ht="12.95">
      <c r="A493" s="61"/>
    </row>
    <row r="494" spans="1:1" ht="12.95">
      <c r="A494" s="61"/>
    </row>
    <row r="495" spans="1:1" ht="12.95">
      <c r="A495" s="61"/>
    </row>
    <row r="496" spans="1:1" ht="12.95">
      <c r="A496" s="61"/>
    </row>
    <row r="497" spans="1:1" ht="12.95">
      <c r="A497" s="61"/>
    </row>
    <row r="498" spans="1:1" ht="12.95">
      <c r="A498" s="61"/>
    </row>
    <row r="499" spans="1:1" ht="12.95">
      <c r="A499" s="61"/>
    </row>
    <row r="500" spans="1:1" ht="12.95">
      <c r="A500" s="61"/>
    </row>
    <row r="501" spans="1:1" ht="12.95">
      <c r="A501" s="61"/>
    </row>
    <row r="502" spans="1:1" ht="12.95">
      <c r="A502" s="61"/>
    </row>
    <row r="503" spans="1:1" ht="12.95">
      <c r="A503" s="61"/>
    </row>
    <row r="504" spans="1:1" ht="12.95">
      <c r="A504" s="61"/>
    </row>
    <row r="505" spans="1:1" ht="12.95">
      <c r="A505" s="61"/>
    </row>
    <row r="506" spans="1:1" ht="12.95">
      <c r="A506" s="61"/>
    </row>
    <row r="507" spans="1:1" ht="12.95">
      <c r="A507" s="61"/>
    </row>
    <row r="508" spans="1:1" ht="12.95">
      <c r="A508" s="61"/>
    </row>
    <row r="509" spans="1:1" ht="12.95">
      <c r="A509" s="61"/>
    </row>
    <row r="510" spans="1:1" ht="12.95">
      <c r="A510" s="61"/>
    </row>
    <row r="511" spans="1:1" ht="12.95">
      <c r="A511" s="61"/>
    </row>
    <row r="512" spans="1:1" ht="12.95">
      <c r="A512" s="61"/>
    </row>
    <row r="513" spans="1:1" ht="12.95">
      <c r="A513" s="61"/>
    </row>
    <row r="514" spans="1:1" ht="12.95">
      <c r="A514" s="61"/>
    </row>
    <row r="515" spans="1:1" ht="12.95">
      <c r="A515" s="61"/>
    </row>
    <row r="516" spans="1:1" ht="12.95">
      <c r="A516" s="61"/>
    </row>
    <row r="517" spans="1:1" ht="12.95">
      <c r="A517" s="61"/>
    </row>
    <row r="518" spans="1:1" ht="12.95">
      <c r="A518" s="61"/>
    </row>
    <row r="519" spans="1:1" ht="12.95">
      <c r="A519" s="61"/>
    </row>
    <row r="520" spans="1:1" ht="12.95">
      <c r="A520" s="61"/>
    </row>
    <row r="521" spans="1:1" ht="12.95">
      <c r="A521" s="61"/>
    </row>
    <row r="522" spans="1:1" ht="12.95">
      <c r="A522" s="61"/>
    </row>
    <row r="523" spans="1:1" ht="12.95">
      <c r="A523" s="61"/>
    </row>
    <row r="524" spans="1:1" ht="12.95">
      <c r="A524" s="61"/>
    </row>
    <row r="525" spans="1:1" ht="12.95">
      <c r="A525" s="61"/>
    </row>
    <row r="526" spans="1:1" ht="12.95">
      <c r="A526" s="61"/>
    </row>
    <row r="527" spans="1:1" ht="12.95">
      <c r="A527" s="61"/>
    </row>
    <row r="528" spans="1:1" ht="12.95">
      <c r="A528" s="61"/>
    </row>
    <row r="529" spans="1:1" ht="12.95">
      <c r="A529" s="61"/>
    </row>
    <row r="530" spans="1:1" ht="12.95">
      <c r="A530" s="61"/>
    </row>
    <row r="531" spans="1:1" ht="12.95">
      <c r="A531" s="61"/>
    </row>
    <row r="532" spans="1:1" ht="12.95">
      <c r="A532" s="61"/>
    </row>
    <row r="533" spans="1:1" ht="12.95">
      <c r="A533" s="61"/>
    </row>
    <row r="534" spans="1:1" ht="12.95">
      <c r="A534" s="61"/>
    </row>
    <row r="535" spans="1:1" ht="12.95">
      <c r="A535" s="61"/>
    </row>
    <row r="536" spans="1:1" ht="12.95">
      <c r="A536" s="61"/>
    </row>
    <row r="537" spans="1:1" ht="12.95">
      <c r="A537" s="61"/>
    </row>
    <row r="538" spans="1:1" ht="12.95">
      <c r="A538" s="61"/>
    </row>
    <row r="539" spans="1:1" ht="12.95">
      <c r="A539" s="61"/>
    </row>
    <row r="540" spans="1:1" ht="12.95">
      <c r="A540" s="61"/>
    </row>
    <row r="541" spans="1:1" ht="12.95">
      <c r="A541" s="61"/>
    </row>
    <row r="542" spans="1:1" ht="12.95">
      <c r="A542" s="61"/>
    </row>
    <row r="543" spans="1:1" ht="12.95">
      <c r="A543" s="61"/>
    </row>
    <row r="544" spans="1:1" ht="12.95">
      <c r="A544" s="61"/>
    </row>
    <row r="545" spans="1:1" ht="12.95">
      <c r="A545" s="61"/>
    </row>
    <row r="546" spans="1:1" ht="12.95">
      <c r="A546" s="61"/>
    </row>
    <row r="547" spans="1:1" ht="12.95">
      <c r="A547" s="61"/>
    </row>
    <row r="548" spans="1:1" ht="12.95">
      <c r="A548" s="61"/>
    </row>
    <row r="549" spans="1:1" ht="12.95">
      <c r="A549" s="61"/>
    </row>
    <row r="550" spans="1:1" ht="12.95">
      <c r="A550" s="61"/>
    </row>
    <row r="551" spans="1:1" ht="12.95">
      <c r="A551" s="61"/>
    </row>
    <row r="552" spans="1:1" ht="12.95">
      <c r="A552" s="61"/>
    </row>
    <row r="553" spans="1:1" ht="12.95">
      <c r="A553" s="61"/>
    </row>
    <row r="554" spans="1:1" ht="12.95">
      <c r="A554" s="61"/>
    </row>
    <row r="555" spans="1:1" ht="12.95">
      <c r="A555" s="61"/>
    </row>
    <row r="556" spans="1:1" ht="12.95">
      <c r="A556" s="61"/>
    </row>
    <row r="557" spans="1:1" ht="12.95">
      <c r="A557" s="61"/>
    </row>
    <row r="558" spans="1:1" ht="12.95">
      <c r="A558" s="61"/>
    </row>
    <row r="559" spans="1:1" ht="12.95">
      <c r="A559" s="61"/>
    </row>
    <row r="560" spans="1:1" ht="12.95">
      <c r="A560" s="61"/>
    </row>
    <row r="561" spans="1:1" ht="12.95">
      <c r="A561" s="61"/>
    </row>
    <row r="562" spans="1:1" ht="12.95">
      <c r="A562" s="61"/>
    </row>
    <row r="563" spans="1:1" ht="12.95">
      <c r="A563" s="61"/>
    </row>
    <row r="564" spans="1:1" ht="12.95">
      <c r="A564" s="61"/>
    </row>
    <row r="565" spans="1:1" ht="12.95">
      <c r="A565" s="61"/>
    </row>
    <row r="566" spans="1:1" ht="12.95">
      <c r="A566" s="61"/>
    </row>
    <row r="567" spans="1:1" ht="12.95">
      <c r="A567" s="61"/>
    </row>
    <row r="568" spans="1:1" ht="12.95">
      <c r="A568" s="61"/>
    </row>
    <row r="569" spans="1:1" ht="12.95">
      <c r="A569" s="61"/>
    </row>
    <row r="570" spans="1:1" ht="12.95">
      <c r="A570" s="61"/>
    </row>
    <row r="571" spans="1:1" ht="12.95">
      <c r="A571" s="61"/>
    </row>
    <row r="572" spans="1:1" ht="12.95">
      <c r="A572" s="61"/>
    </row>
    <row r="573" spans="1:1" ht="12.95">
      <c r="A573" s="61"/>
    </row>
    <row r="574" spans="1:1" ht="12.95">
      <c r="A574" s="61"/>
    </row>
    <row r="575" spans="1:1" ht="12.95">
      <c r="A575" s="61"/>
    </row>
    <row r="576" spans="1:1" ht="12.95">
      <c r="A576" s="61"/>
    </row>
    <row r="577" spans="1:1" ht="12.95">
      <c r="A577" s="61"/>
    </row>
    <row r="578" spans="1:1" ht="12.95">
      <c r="A578" s="61"/>
    </row>
    <row r="579" spans="1:1" ht="12.95">
      <c r="A579" s="61"/>
    </row>
    <row r="580" spans="1:1" ht="12.95">
      <c r="A580" s="61"/>
    </row>
    <row r="581" spans="1:1" ht="12.95">
      <c r="A581" s="61"/>
    </row>
    <row r="582" spans="1:1" ht="12.95">
      <c r="A582" s="61"/>
    </row>
    <row r="583" spans="1:1" ht="12.95">
      <c r="A583" s="61"/>
    </row>
    <row r="584" spans="1:1" ht="12.95">
      <c r="A584" s="61"/>
    </row>
    <row r="585" spans="1:1" ht="12.95">
      <c r="A585" s="61"/>
    </row>
    <row r="586" spans="1:1" ht="12.95">
      <c r="A586" s="61"/>
    </row>
    <row r="587" spans="1:1" ht="12.95">
      <c r="A587" s="61"/>
    </row>
    <row r="588" spans="1:1" ht="12.95">
      <c r="A588" s="61"/>
    </row>
    <row r="589" spans="1:1" ht="12.95">
      <c r="A589" s="61"/>
    </row>
    <row r="590" spans="1:1" ht="12.95">
      <c r="A590" s="61"/>
    </row>
    <row r="591" spans="1:1" ht="12.95">
      <c r="A591" s="61"/>
    </row>
    <row r="592" spans="1:1" ht="12.95">
      <c r="A592" s="61"/>
    </row>
    <row r="593" spans="1:1" ht="12.95">
      <c r="A593" s="61"/>
    </row>
    <row r="594" spans="1:1" ht="12.95">
      <c r="A594" s="61"/>
    </row>
    <row r="595" spans="1:1" ht="12.95">
      <c r="A595" s="61"/>
    </row>
    <row r="596" spans="1:1" ht="12.95">
      <c r="A596" s="61"/>
    </row>
    <row r="597" spans="1:1" ht="12.95">
      <c r="A597" s="61"/>
    </row>
    <row r="598" spans="1:1" ht="12.95">
      <c r="A598" s="61"/>
    </row>
    <row r="599" spans="1:1" ht="12.95">
      <c r="A599" s="61"/>
    </row>
    <row r="600" spans="1:1" ht="12.95">
      <c r="A600" s="61"/>
    </row>
    <row r="601" spans="1:1" ht="12.95">
      <c r="A601" s="61"/>
    </row>
    <row r="602" spans="1:1" ht="12.95">
      <c r="A602" s="61"/>
    </row>
    <row r="603" spans="1:1" ht="12.95">
      <c r="A603" s="61"/>
    </row>
    <row r="604" spans="1:1" ht="12.95">
      <c r="A604" s="61"/>
    </row>
    <row r="605" spans="1:1" ht="12.95">
      <c r="A605" s="61"/>
    </row>
    <row r="606" spans="1:1" ht="12.95">
      <c r="A606" s="61"/>
    </row>
    <row r="607" spans="1:1" ht="12.95">
      <c r="A607" s="61"/>
    </row>
    <row r="608" spans="1:1" ht="12.95">
      <c r="A608" s="61"/>
    </row>
    <row r="609" spans="1:1" ht="12.95">
      <c r="A609" s="61"/>
    </row>
    <row r="610" spans="1:1" ht="12.95">
      <c r="A610" s="61"/>
    </row>
    <row r="611" spans="1:1" ht="12.95">
      <c r="A611" s="61"/>
    </row>
    <row r="612" spans="1:1" ht="12.95">
      <c r="A612" s="61"/>
    </row>
    <row r="613" spans="1:1" ht="12.95">
      <c r="A613" s="61"/>
    </row>
    <row r="614" spans="1:1" ht="12.95">
      <c r="A614" s="61"/>
    </row>
    <row r="615" spans="1:1" ht="12.95">
      <c r="A615" s="61"/>
    </row>
    <row r="616" spans="1:1" ht="12.95">
      <c r="A616" s="61"/>
    </row>
    <row r="617" spans="1:1" ht="12.95">
      <c r="A617" s="61"/>
    </row>
    <row r="618" spans="1:1" ht="12.95">
      <c r="A618" s="61"/>
    </row>
    <row r="619" spans="1:1" ht="12.95">
      <c r="A619" s="61"/>
    </row>
    <row r="620" spans="1:1" ht="12.95">
      <c r="A620" s="61"/>
    </row>
    <row r="621" spans="1:1" ht="12.95">
      <c r="A621" s="61"/>
    </row>
    <row r="622" spans="1:1" ht="12.95">
      <c r="A622" s="61"/>
    </row>
    <row r="623" spans="1:1" ht="12.95">
      <c r="A623" s="61"/>
    </row>
    <row r="624" spans="1:1" ht="12.95">
      <c r="A624" s="61"/>
    </row>
    <row r="625" spans="1:1" ht="12.95">
      <c r="A625" s="61"/>
    </row>
    <row r="626" spans="1:1" ht="12.95">
      <c r="A626" s="61"/>
    </row>
    <row r="627" spans="1:1" ht="12.95">
      <c r="A627" s="61"/>
    </row>
    <row r="628" spans="1:1" ht="12.95">
      <c r="A628" s="61"/>
    </row>
    <row r="629" spans="1:1" ht="12.95">
      <c r="A629" s="61"/>
    </row>
    <row r="630" spans="1:1" ht="12.95">
      <c r="A630" s="61"/>
    </row>
    <row r="631" spans="1:1" ht="12.95">
      <c r="A631" s="61"/>
    </row>
    <row r="632" spans="1:1" ht="12.95">
      <c r="A632" s="61"/>
    </row>
    <row r="633" spans="1:1" ht="12.95">
      <c r="A633" s="61"/>
    </row>
    <row r="634" spans="1:1" ht="12.95">
      <c r="A634" s="61"/>
    </row>
    <row r="635" spans="1:1" ht="12.95">
      <c r="A635" s="61"/>
    </row>
    <row r="636" spans="1:1" ht="12.95">
      <c r="A636" s="61"/>
    </row>
    <row r="637" spans="1:1" ht="12.95">
      <c r="A637" s="61"/>
    </row>
    <row r="638" spans="1:1" ht="12.95">
      <c r="A638" s="61"/>
    </row>
    <row r="639" spans="1:1" ht="12.95">
      <c r="A639" s="61"/>
    </row>
    <row r="640" spans="1:1" ht="12.95">
      <c r="A640" s="61"/>
    </row>
    <row r="641" spans="1:1" ht="12.95">
      <c r="A641" s="61"/>
    </row>
    <row r="642" spans="1:1" ht="12.95">
      <c r="A642" s="61"/>
    </row>
    <row r="643" spans="1:1" ht="12.95">
      <c r="A643" s="61"/>
    </row>
    <row r="644" spans="1:1" ht="12.95">
      <c r="A644" s="61"/>
    </row>
    <row r="645" spans="1:1" ht="12.95">
      <c r="A645" s="61"/>
    </row>
    <row r="646" spans="1:1" ht="12.95">
      <c r="A646" s="61"/>
    </row>
    <row r="647" spans="1:1" ht="12.95">
      <c r="A647" s="61"/>
    </row>
    <row r="648" spans="1:1" ht="12.95">
      <c r="A648" s="61"/>
    </row>
    <row r="649" spans="1:1" ht="12.95">
      <c r="A649" s="61"/>
    </row>
    <row r="650" spans="1:1" ht="12.95">
      <c r="A650" s="61"/>
    </row>
    <row r="651" spans="1:1" ht="12.95">
      <c r="A651" s="61"/>
    </row>
    <row r="652" spans="1:1" ht="12.95">
      <c r="A652" s="61"/>
    </row>
    <row r="653" spans="1:1" ht="12.95">
      <c r="A653" s="61"/>
    </row>
    <row r="654" spans="1:1" ht="12.95">
      <c r="A654" s="61"/>
    </row>
    <row r="655" spans="1:1" ht="12.95">
      <c r="A655" s="61"/>
    </row>
    <row r="656" spans="1:1" ht="12.95">
      <c r="A656" s="61"/>
    </row>
    <row r="657" spans="1:1" ht="12.95">
      <c r="A657" s="61"/>
    </row>
    <row r="658" spans="1:1" ht="12.95">
      <c r="A658" s="61"/>
    </row>
    <row r="659" spans="1:1" ht="12.95">
      <c r="A659" s="61"/>
    </row>
    <row r="660" spans="1:1" ht="12.95">
      <c r="A660" s="61"/>
    </row>
    <row r="661" spans="1:1" ht="12.95">
      <c r="A661" s="61"/>
    </row>
    <row r="662" spans="1:1" ht="12.95">
      <c r="A662" s="61"/>
    </row>
    <row r="663" spans="1:1" ht="12.95">
      <c r="A663" s="61"/>
    </row>
    <row r="664" spans="1:1" ht="12.95">
      <c r="A664" s="61"/>
    </row>
    <row r="665" spans="1:1" ht="12.95">
      <c r="A665" s="61"/>
    </row>
    <row r="666" spans="1:1" ht="12.95">
      <c r="A666" s="61"/>
    </row>
    <row r="667" spans="1:1" ht="12.95">
      <c r="A667" s="61"/>
    </row>
    <row r="668" spans="1:1" ht="12.95">
      <c r="A668" s="61"/>
    </row>
    <row r="669" spans="1:1" ht="12.95">
      <c r="A669" s="61"/>
    </row>
    <row r="670" spans="1:1" ht="12.95">
      <c r="A670" s="61"/>
    </row>
    <row r="671" spans="1:1" ht="12.95">
      <c r="A671" s="61"/>
    </row>
    <row r="672" spans="1:1" ht="12.95">
      <c r="A672" s="61"/>
    </row>
    <row r="673" spans="1:1" ht="12.95">
      <c r="A673" s="61"/>
    </row>
    <row r="674" spans="1:1" ht="12.95">
      <c r="A674" s="61"/>
    </row>
    <row r="675" spans="1:1" ht="12.95">
      <c r="A675" s="61"/>
    </row>
    <row r="676" spans="1:1" ht="12.95">
      <c r="A676" s="61"/>
    </row>
    <row r="677" spans="1:1" ht="12.95">
      <c r="A677" s="61"/>
    </row>
    <row r="678" spans="1:1" ht="12.95">
      <c r="A678" s="61"/>
    </row>
    <row r="679" spans="1:1" ht="12.95">
      <c r="A679" s="61"/>
    </row>
    <row r="680" spans="1:1" ht="12.95">
      <c r="A680" s="61"/>
    </row>
    <row r="681" spans="1:1" ht="12.95">
      <c r="A681" s="61"/>
    </row>
    <row r="682" spans="1:1" ht="12.95">
      <c r="A682" s="61"/>
    </row>
    <row r="683" spans="1:1" ht="12.95">
      <c r="A683" s="61"/>
    </row>
    <row r="684" spans="1:1" ht="12.95">
      <c r="A684" s="61"/>
    </row>
    <row r="685" spans="1:1" ht="12.95">
      <c r="A685" s="61"/>
    </row>
    <row r="686" spans="1:1" ht="12.95">
      <c r="A686" s="61"/>
    </row>
    <row r="687" spans="1:1" ht="12.95">
      <c r="A687" s="61"/>
    </row>
    <row r="688" spans="1:1" ht="12.95">
      <c r="A688" s="61"/>
    </row>
    <row r="689" spans="1:1" ht="12.95">
      <c r="A689" s="61"/>
    </row>
    <row r="690" spans="1:1" ht="12.95">
      <c r="A690" s="61"/>
    </row>
    <row r="691" spans="1:1" ht="12.95">
      <c r="A691" s="61"/>
    </row>
    <row r="692" spans="1:1" ht="12.95">
      <c r="A692" s="61"/>
    </row>
    <row r="693" spans="1:1" ht="12.95">
      <c r="A693" s="61"/>
    </row>
    <row r="694" spans="1:1" ht="12.95">
      <c r="A694" s="61"/>
    </row>
    <row r="695" spans="1:1" ht="12.95">
      <c r="A695" s="61"/>
    </row>
    <row r="696" spans="1:1" ht="12.95">
      <c r="A696" s="61"/>
    </row>
    <row r="697" spans="1:1" ht="12.95">
      <c r="A697" s="61"/>
    </row>
    <row r="698" spans="1:1" ht="12.95">
      <c r="A698" s="61"/>
    </row>
    <row r="699" spans="1:1" ht="12.95">
      <c r="A699" s="61"/>
    </row>
    <row r="700" spans="1:1" ht="12.95">
      <c r="A700" s="61"/>
    </row>
    <row r="701" spans="1:1" ht="12.95">
      <c r="A701" s="61"/>
    </row>
    <row r="702" spans="1:1" ht="12.95">
      <c r="A702" s="61"/>
    </row>
    <row r="703" spans="1:1" ht="12.95">
      <c r="A703" s="61"/>
    </row>
    <row r="704" spans="1:1" ht="12.95">
      <c r="A704" s="61"/>
    </row>
    <row r="705" spans="1:1" ht="12.95">
      <c r="A705" s="61"/>
    </row>
    <row r="706" spans="1:1" ht="12.95">
      <c r="A706" s="61"/>
    </row>
    <row r="707" spans="1:1" ht="12.95">
      <c r="A707" s="61"/>
    </row>
    <row r="708" spans="1:1" ht="12.95">
      <c r="A708" s="61"/>
    </row>
    <row r="709" spans="1:1" ht="12.95">
      <c r="A709" s="61"/>
    </row>
    <row r="710" spans="1:1" ht="12.95">
      <c r="A710" s="61"/>
    </row>
    <row r="711" spans="1:1" ht="12.95">
      <c r="A711" s="61"/>
    </row>
    <row r="712" spans="1:1" ht="12.95">
      <c r="A712" s="61"/>
    </row>
    <row r="713" spans="1:1" ht="12.95">
      <c r="A713" s="61"/>
    </row>
    <row r="714" spans="1:1" ht="12.95">
      <c r="A714" s="61"/>
    </row>
    <row r="715" spans="1:1" ht="12.95">
      <c r="A715" s="61"/>
    </row>
    <row r="716" spans="1:1" ht="12.95">
      <c r="A716" s="61"/>
    </row>
    <row r="717" spans="1:1" ht="12.95">
      <c r="A717" s="61"/>
    </row>
    <row r="718" spans="1:1" ht="12.95">
      <c r="A718" s="61"/>
    </row>
    <row r="719" spans="1:1" ht="12.95">
      <c r="A719" s="61"/>
    </row>
    <row r="720" spans="1:1" ht="12.95">
      <c r="A720" s="61"/>
    </row>
    <row r="721" spans="1:1" ht="12.95">
      <c r="A721" s="61"/>
    </row>
    <row r="722" spans="1:1" ht="12.95">
      <c r="A722" s="61"/>
    </row>
    <row r="723" spans="1:1" ht="12.95">
      <c r="A723" s="61"/>
    </row>
    <row r="724" spans="1:1" ht="12.95">
      <c r="A724" s="61"/>
    </row>
    <row r="725" spans="1:1" ht="12.95">
      <c r="A725" s="61"/>
    </row>
    <row r="726" spans="1:1" ht="12.95">
      <c r="A726" s="61"/>
    </row>
    <row r="727" spans="1:1" ht="12.95">
      <c r="A727" s="61"/>
    </row>
    <row r="728" spans="1:1" ht="12.95">
      <c r="A728" s="61"/>
    </row>
    <row r="729" spans="1:1" ht="12.95">
      <c r="A729" s="61"/>
    </row>
    <row r="730" spans="1:1" ht="12.95">
      <c r="A730" s="61"/>
    </row>
    <row r="731" spans="1:1" ht="12.95">
      <c r="A731" s="61"/>
    </row>
    <row r="732" spans="1:1" ht="12.95">
      <c r="A732" s="61"/>
    </row>
    <row r="733" spans="1:1" ht="12.95">
      <c r="A733" s="61"/>
    </row>
    <row r="734" spans="1:1" ht="12.95">
      <c r="A734" s="61"/>
    </row>
    <row r="735" spans="1:1" ht="12.95">
      <c r="A735" s="61"/>
    </row>
    <row r="736" spans="1:1" ht="12.95">
      <c r="A736" s="61"/>
    </row>
    <row r="737" spans="1:1" ht="12.95">
      <c r="A737" s="61"/>
    </row>
    <row r="738" spans="1:1" ht="12.95">
      <c r="A738" s="61"/>
    </row>
    <row r="739" spans="1:1" ht="12.95">
      <c r="A739" s="61"/>
    </row>
    <row r="740" spans="1:1" ht="12.95">
      <c r="A740" s="61"/>
    </row>
    <row r="741" spans="1:1" ht="12.95">
      <c r="A741" s="61"/>
    </row>
    <row r="742" spans="1:1" ht="12.95">
      <c r="A742" s="61"/>
    </row>
    <row r="743" spans="1:1" ht="12.95">
      <c r="A743" s="61"/>
    </row>
    <row r="744" spans="1:1" ht="12.95">
      <c r="A744" s="61"/>
    </row>
    <row r="745" spans="1:1" ht="12.95">
      <c r="A745" s="61"/>
    </row>
    <row r="746" spans="1:1" ht="12.95">
      <c r="A746" s="61"/>
    </row>
    <row r="747" spans="1:1" ht="12.95">
      <c r="A747" s="61"/>
    </row>
    <row r="748" spans="1:1" ht="12.95">
      <c r="A748" s="61"/>
    </row>
    <row r="749" spans="1:1" ht="12.95">
      <c r="A749" s="61"/>
    </row>
    <row r="750" spans="1:1" ht="12.95">
      <c r="A750" s="61"/>
    </row>
    <row r="751" spans="1:1" ht="12.95">
      <c r="A751" s="61"/>
    </row>
    <row r="752" spans="1:1" ht="12.95">
      <c r="A752" s="61"/>
    </row>
    <row r="753" spans="1:1" ht="12.95">
      <c r="A753" s="61"/>
    </row>
    <row r="754" spans="1:1" ht="12.95">
      <c r="A754" s="61"/>
    </row>
    <row r="755" spans="1:1" ht="12.95">
      <c r="A755" s="61"/>
    </row>
    <row r="756" spans="1:1" ht="12.95">
      <c r="A756" s="61"/>
    </row>
    <row r="757" spans="1:1" ht="12.95">
      <c r="A757" s="61"/>
    </row>
    <row r="758" spans="1:1" ht="12.95">
      <c r="A758" s="61"/>
    </row>
    <row r="759" spans="1:1" ht="12.95">
      <c r="A759" s="61"/>
    </row>
    <row r="760" spans="1:1" ht="12.95">
      <c r="A760" s="61"/>
    </row>
    <row r="761" spans="1:1" ht="12.95">
      <c r="A761" s="61"/>
    </row>
    <row r="762" spans="1:1" ht="12.95">
      <c r="A762" s="61"/>
    </row>
    <row r="763" spans="1:1" ht="12.95">
      <c r="A763" s="61"/>
    </row>
    <row r="764" spans="1:1" ht="12.95">
      <c r="A764" s="61"/>
    </row>
    <row r="765" spans="1:1" ht="12.95">
      <c r="A765" s="61"/>
    </row>
    <row r="766" spans="1:1" ht="12.95">
      <c r="A766" s="61"/>
    </row>
    <row r="767" spans="1:1" ht="12.95">
      <c r="A767" s="61"/>
    </row>
    <row r="768" spans="1:1" ht="12.95">
      <c r="A768" s="61"/>
    </row>
    <row r="769" spans="1:1" ht="12.95">
      <c r="A769" s="61"/>
    </row>
    <row r="770" spans="1:1" ht="12.95">
      <c r="A770" s="61"/>
    </row>
    <row r="771" spans="1:1" ht="12.95">
      <c r="A771" s="61"/>
    </row>
    <row r="772" spans="1:1" ht="12.95">
      <c r="A772" s="61"/>
    </row>
    <row r="773" spans="1:1" ht="12.95">
      <c r="A773" s="61"/>
    </row>
    <row r="774" spans="1:1" ht="12.95">
      <c r="A774" s="61"/>
    </row>
    <row r="775" spans="1:1" ht="12.95">
      <c r="A775" s="61"/>
    </row>
    <row r="776" spans="1:1" ht="12.95">
      <c r="A776" s="61"/>
    </row>
    <row r="777" spans="1:1" ht="12.95">
      <c r="A777" s="61"/>
    </row>
    <row r="778" spans="1:1" ht="12.95">
      <c r="A778" s="61"/>
    </row>
    <row r="779" spans="1:1" ht="12.95">
      <c r="A779" s="61"/>
    </row>
    <row r="780" spans="1:1" ht="12.95">
      <c r="A780" s="61"/>
    </row>
    <row r="781" spans="1:1" ht="12.95">
      <c r="A781" s="61"/>
    </row>
    <row r="782" spans="1:1" ht="12.95">
      <c r="A782" s="61"/>
    </row>
    <row r="783" spans="1:1" ht="12.95">
      <c r="A783" s="61"/>
    </row>
    <row r="784" spans="1:1" ht="12.95">
      <c r="A784" s="61"/>
    </row>
    <row r="785" spans="1:1" ht="12.95">
      <c r="A785" s="61"/>
    </row>
    <row r="786" spans="1:1" ht="12.95">
      <c r="A786" s="61"/>
    </row>
    <row r="787" spans="1:1" ht="12.95">
      <c r="A787" s="61"/>
    </row>
    <row r="788" spans="1:1" ht="12.95">
      <c r="A788" s="61"/>
    </row>
    <row r="789" spans="1:1" ht="12.95">
      <c r="A789" s="61"/>
    </row>
    <row r="790" spans="1:1" ht="12.95">
      <c r="A790" s="61"/>
    </row>
    <row r="791" spans="1:1" ht="12.95">
      <c r="A791" s="61"/>
    </row>
    <row r="792" spans="1:1" ht="12.95">
      <c r="A792" s="61"/>
    </row>
    <row r="793" spans="1:1" ht="12.95">
      <c r="A793" s="61"/>
    </row>
    <row r="794" spans="1:1" ht="12.95">
      <c r="A794" s="61"/>
    </row>
    <row r="795" spans="1:1" ht="12.95">
      <c r="A795" s="61"/>
    </row>
    <row r="796" spans="1:1" ht="12.95">
      <c r="A796" s="61"/>
    </row>
    <row r="797" spans="1:1" ht="12.95">
      <c r="A797" s="61"/>
    </row>
    <row r="798" spans="1:1" ht="12.95">
      <c r="A798" s="61"/>
    </row>
    <row r="799" spans="1:1" ht="12.95">
      <c r="A799" s="61"/>
    </row>
    <row r="800" spans="1:1" ht="12.95">
      <c r="A800" s="61"/>
    </row>
    <row r="801" spans="1:1" ht="12.95">
      <c r="A801" s="61"/>
    </row>
    <row r="802" spans="1:1" ht="12.95">
      <c r="A802" s="61"/>
    </row>
    <row r="803" spans="1:1" ht="12.95">
      <c r="A803" s="61"/>
    </row>
    <row r="804" spans="1:1" ht="12.95">
      <c r="A804" s="61"/>
    </row>
    <row r="805" spans="1:1" ht="12.95">
      <c r="A805" s="61"/>
    </row>
    <row r="806" spans="1:1" ht="12.95">
      <c r="A806" s="61"/>
    </row>
    <row r="807" spans="1:1" ht="12.95">
      <c r="A807" s="61"/>
    </row>
    <row r="808" spans="1:1" ht="12.95">
      <c r="A808" s="61"/>
    </row>
    <row r="809" spans="1:1" ht="12.95">
      <c r="A809" s="61"/>
    </row>
    <row r="810" spans="1:1" ht="12.95">
      <c r="A810" s="61"/>
    </row>
    <row r="811" spans="1:1" ht="12.95">
      <c r="A811" s="61"/>
    </row>
    <row r="812" spans="1:1" ht="12.95">
      <c r="A812" s="61"/>
    </row>
    <row r="813" spans="1:1" ht="12.95">
      <c r="A813" s="61"/>
    </row>
    <row r="814" spans="1:1" ht="12.95">
      <c r="A814" s="61"/>
    </row>
    <row r="815" spans="1:1" ht="12.95">
      <c r="A815" s="61"/>
    </row>
    <row r="816" spans="1:1" ht="12.95">
      <c r="A816" s="61"/>
    </row>
    <row r="817" spans="1:1" ht="12.95">
      <c r="A817" s="61"/>
    </row>
    <row r="818" spans="1:1" ht="12.95">
      <c r="A818" s="61"/>
    </row>
    <row r="819" spans="1:1" ht="12.95">
      <c r="A819" s="61"/>
    </row>
    <row r="820" spans="1:1" ht="12.95">
      <c r="A820" s="61"/>
    </row>
    <row r="821" spans="1:1" ht="12.95">
      <c r="A821" s="61"/>
    </row>
    <row r="822" spans="1:1" ht="12.95">
      <c r="A822" s="61"/>
    </row>
    <row r="823" spans="1:1" ht="12.95">
      <c r="A823" s="61"/>
    </row>
    <row r="824" spans="1:1" ht="12.95">
      <c r="A824" s="61"/>
    </row>
    <row r="825" spans="1:1" ht="12.95">
      <c r="A825" s="61"/>
    </row>
    <row r="826" spans="1:1" ht="12.95">
      <c r="A826" s="61"/>
    </row>
    <row r="827" spans="1:1" ht="12.95">
      <c r="A827" s="61"/>
    </row>
    <row r="828" spans="1:1" ht="12.95">
      <c r="A828" s="61"/>
    </row>
    <row r="829" spans="1:1" ht="12.95">
      <c r="A829" s="61"/>
    </row>
    <row r="830" spans="1:1" ht="12.95">
      <c r="A830" s="61"/>
    </row>
    <row r="831" spans="1:1" ht="12.95">
      <c r="A831" s="61"/>
    </row>
    <row r="832" spans="1:1" ht="12.95">
      <c r="A832" s="61"/>
    </row>
    <row r="833" spans="1:1" ht="12.95">
      <c r="A833" s="61"/>
    </row>
    <row r="834" spans="1:1" ht="12.95">
      <c r="A834" s="61"/>
    </row>
    <row r="835" spans="1:1" ht="12.95">
      <c r="A835" s="61"/>
    </row>
    <row r="836" spans="1:1" ht="12.95">
      <c r="A836" s="61"/>
    </row>
    <row r="837" spans="1:1" ht="12.95">
      <c r="A837" s="61"/>
    </row>
    <row r="838" spans="1:1" ht="12.95">
      <c r="A838" s="61"/>
    </row>
    <row r="839" spans="1:1" ht="12.95">
      <c r="A839" s="61"/>
    </row>
    <row r="840" spans="1:1" ht="12.95">
      <c r="A840" s="61"/>
    </row>
    <row r="841" spans="1:1" ht="12.95">
      <c r="A841" s="61"/>
    </row>
    <row r="842" spans="1:1" ht="12.95">
      <c r="A842" s="61"/>
    </row>
    <row r="843" spans="1:1" ht="12.95">
      <c r="A843" s="61"/>
    </row>
    <row r="844" spans="1:1" ht="12.95">
      <c r="A844" s="61"/>
    </row>
    <row r="845" spans="1:1" ht="12.95">
      <c r="A845" s="61"/>
    </row>
    <row r="846" spans="1:1" ht="12.95">
      <c r="A846" s="61"/>
    </row>
    <row r="847" spans="1:1" ht="12.95">
      <c r="A847" s="61"/>
    </row>
    <row r="848" spans="1:1" ht="12.95">
      <c r="A848" s="61"/>
    </row>
    <row r="849" spans="1:1" ht="12.95">
      <c r="A849" s="61"/>
    </row>
    <row r="850" spans="1:1" ht="12.95">
      <c r="A850" s="61"/>
    </row>
    <row r="851" spans="1:1" ht="12.95">
      <c r="A851" s="61"/>
    </row>
    <row r="852" spans="1:1" ht="12.95">
      <c r="A852" s="61"/>
    </row>
    <row r="853" spans="1:1" ht="12.95">
      <c r="A853" s="61"/>
    </row>
    <row r="854" spans="1:1" ht="12.95">
      <c r="A854" s="61"/>
    </row>
    <row r="855" spans="1:1" ht="12.95">
      <c r="A855" s="61"/>
    </row>
    <row r="856" spans="1:1" ht="12.95">
      <c r="A856" s="61"/>
    </row>
    <row r="857" spans="1:1" ht="12.95">
      <c r="A857" s="61"/>
    </row>
    <row r="858" spans="1:1" ht="12.95">
      <c r="A858" s="61"/>
    </row>
    <row r="859" spans="1:1" ht="12.95">
      <c r="A859" s="61"/>
    </row>
    <row r="860" spans="1:1" ht="12.95">
      <c r="A860" s="61"/>
    </row>
    <row r="861" spans="1:1" ht="12.95">
      <c r="A861" s="61"/>
    </row>
    <row r="862" spans="1:1" ht="12.95">
      <c r="A862" s="61"/>
    </row>
    <row r="863" spans="1:1" ht="12.95">
      <c r="A863" s="61"/>
    </row>
    <row r="864" spans="1:1" ht="12.95">
      <c r="A864" s="61"/>
    </row>
    <row r="865" spans="1:1" ht="12.95">
      <c r="A865" s="61"/>
    </row>
    <row r="866" spans="1:1" ht="12.95">
      <c r="A866" s="61"/>
    </row>
    <row r="867" spans="1:1" ht="12.95">
      <c r="A867" s="61"/>
    </row>
    <row r="868" spans="1:1" ht="12.95">
      <c r="A868" s="61"/>
    </row>
    <row r="869" spans="1:1" ht="12.95">
      <c r="A869" s="61"/>
    </row>
    <row r="870" spans="1:1" ht="12.95">
      <c r="A870" s="61"/>
    </row>
    <row r="871" spans="1:1" ht="12.95">
      <c r="A871" s="61"/>
    </row>
    <row r="872" spans="1:1" ht="12.95">
      <c r="A872" s="61"/>
    </row>
    <row r="873" spans="1:1" ht="12.95">
      <c r="A873" s="61"/>
    </row>
    <row r="874" spans="1:1" ht="12.95">
      <c r="A874" s="61"/>
    </row>
    <row r="875" spans="1:1" ht="12.95">
      <c r="A875" s="61"/>
    </row>
    <row r="876" spans="1:1" ht="12.95">
      <c r="A876" s="61"/>
    </row>
    <row r="877" spans="1:1" ht="12.95">
      <c r="A877" s="61"/>
    </row>
    <row r="878" spans="1:1" ht="12.95">
      <c r="A878" s="61"/>
    </row>
    <row r="879" spans="1:1" ht="12.95">
      <c r="A879" s="61"/>
    </row>
    <row r="880" spans="1:1" ht="12.95">
      <c r="A880" s="61"/>
    </row>
    <row r="881" spans="1:1" ht="12.95">
      <c r="A881" s="61"/>
    </row>
    <row r="882" spans="1:1" ht="12.95">
      <c r="A882" s="61"/>
    </row>
    <row r="883" spans="1:1" ht="12.95">
      <c r="A883" s="61"/>
    </row>
    <row r="884" spans="1:1" ht="12.95">
      <c r="A884" s="61"/>
    </row>
    <row r="885" spans="1:1" ht="12.95">
      <c r="A885" s="61"/>
    </row>
    <row r="886" spans="1:1" ht="12.95">
      <c r="A886" s="61"/>
    </row>
    <row r="887" spans="1:1" ht="12.95">
      <c r="A887" s="61"/>
    </row>
    <row r="888" spans="1:1" ht="12.95">
      <c r="A888" s="61"/>
    </row>
    <row r="889" spans="1:1" ht="12.95">
      <c r="A889" s="61"/>
    </row>
    <row r="890" spans="1:1" ht="12.95">
      <c r="A890" s="61"/>
    </row>
    <row r="891" spans="1:1" ht="12.95">
      <c r="A891" s="61"/>
    </row>
    <row r="892" spans="1:1" ht="12.95">
      <c r="A892" s="61"/>
    </row>
    <row r="893" spans="1:1" ht="12.95">
      <c r="A893" s="61"/>
    </row>
    <row r="894" spans="1:1" ht="12.95">
      <c r="A894" s="61"/>
    </row>
    <row r="895" spans="1:1" ht="12.95">
      <c r="A895" s="61"/>
    </row>
    <row r="896" spans="1:1" ht="12.95">
      <c r="A896" s="61"/>
    </row>
    <row r="897" spans="1:1" ht="12.95">
      <c r="A897" s="61"/>
    </row>
    <row r="898" spans="1:1" ht="12.95">
      <c r="A898" s="61"/>
    </row>
    <row r="899" spans="1:1" ht="12.95">
      <c r="A899" s="61"/>
    </row>
    <row r="900" spans="1:1" ht="12.95">
      <c r="A900" s="61"/>
    </row>
    <row r="901" spans="1:1" ht="12.95">
      <c r="A901" s="61"/>
    </row>
    <row r="902" spans="1:1" ht="12.95">
      <c r="A902" s="61"/>
    </row>
    <row r="903" spans="1:1" ht="12.95">
      <c r="A903" s="61"/>
    </row>
    <row r="904" spans="1:1" ht="12.95">
      <c r="A904" s="61"/>
    </row>
    <row r="905" spans="1:1" ht="12.95">
      <c r="A905" s="61"/>
    </row>
    <row r="906" spans="1:1" ht="12.95">
      <c r="A906" s="61"/>
    </row>
    <row r="907" spans="1:1" ht="12.95">
      <c r="A907" s="61"/>
    </row>
    <row r="908" spans="1:1" ht="12.95">
      <c r="A908" s="61"/>
    </row>
    <row r="909" spans="1:1" ht="12.95">
      <c r="A909" s="61"/>
    </row>
    <row r="910" spans="1:1" ht="12.95">
      <c r="A910" s="61"/>
    </row>
    <row r="911" spans="1:1" ht="12.95">
      <c r="A911" s="61"/>
    </row>
    <row r="912" spans="1:1" ht="12.95">
      <c r="A912" s="61"/>
    </row>
    <row r="913" spans="1:1" ht="12.95">
      <c r="A913" s="61"/>
    </row>
    <row r="914" spans="1:1" ht="12.95">
      <c r="A914" s="61"/>
    </row>
    <row r="915" spans="1:1" ht="12.95">
      <c r="A915" s="61"/>
    </row>
    <row r="916" spans="1:1" ht="12.95">
      <c r="A916" s="61"/>
    </row>
    <row r="917" spans="1:1" ht="12.95">
      <c r="A917" s="61"/>
    </row>
    <row r="918" spans="1:1" ht="12.95">
      <c r="A918" s="61"/>
    </row>
    <row r="919" spans="1:1" ht="12.95">
      <c r="A919" s="61"/>
    </row>
    <row r="920" spans="1:1" ht="12.95">
      <c r="A920" s="61"/>
    </row>
    <row r="921" spans="1:1" ht="12.95">
      <c r="A921" s="61"/>
    </row>
    <row r="922" spans="1:1" ht="12.95">
      <c r="A922" s="61"/>
    </row>
    <row r="923" spans="1:1" ht="12.95">
      <c r="A923" s="61"/>
    </row>
    <row r="924" spans="1:1" ht="12.95">
      <c r="A924" s="61"/>
    </row>
    <row r="925" spans="1:1" ht="12.95">
      <c r="A925" s="61"/>
    </row>
    <row r="926" spans="1:1" ht="12.95">
      <c r="A926" s="61"/>
    </row>
    <row r="927" spans="1:1" ht="12.95">
      <c r="A927" s="61"/>
    </row>
    <row r="928" spans="1:1" ht="12.95">
      <c r="A928" s="61"/>
    </row>
    <row r="929" spans="1:1" ht="12.95">
      <c r="A929" s="61"/>
    </row>
    <row r="930" spans="1:1" ht="12.95">
      <c r="A930" s="61"/>
    </row>
    <row r="931" spans="1:1" ht="12.95">
      <c r="A931" s="61"/>
    </row>
    <row r="932" spans="1:1" ht="12.95">
      <c r="A932" s="61"/>
    </row>
    <row r="933" spans="1:1" ht="12.95">
      <c r="A933" s="61"/>
    </row>
    <row r="934" spans="1:1" ht="12.95">
      <c r="A934" s="61"/>
    </row>
    <row r="935" spans="1:1" ht="12.95">
      <c r="A935" s="61"/>
    </row>
    <row r="936" spans="1:1" ht="12.95">
      <c r="A936" s="61"/>
    </row>
    <row r="937" spans="1:1" ht="12.95">
      <c r="A937" s="61"/>
    </row>
    <row r="938" spans="1:1" ht="12.95">
      <c r="A938" s="61"/>
    </row>
    <row r="939" spans="1:1" ht="12.95">
      <c r="A939" s="61"/>
    </row>
    <row r="940" spans="1:1" ht="12.95">
      <c r="A940" s="61"/>
    </row>
    <row r="941" spans="1:1" ht="12.95">
      <c r="A941" s="61"/>
    </row>
    <row r="942" spans="1:1" ht="12.95">
      <c r="A942" s="61"/>
    </row>
    <row r="943" spans="1:1" ht="12.95">
      <c r="A943" s="61"/>
    </row>
    <row r="944" spans="1:1" ht="12.95">
      <c r="A944" s="61"/>
    </row>
    <row r="945" spans="1:1" ht="12.95">
      <c r="A945" s="61"/>
    </row>
    <row r="946" spans="1:1" ht="12.95">
      <c r="A946" s="61"/>
    </row>
    <row r="947" spans="1:1" ht="12.95">
      <c r="A947" s="61"/>
    </row>
    <row r="948" spans="1:1" ht="12.95">
      <c r="A948" s="61"/>
    </row>
    <row r="949" spans="1:1" ht="12.95">
      <c r="A949" s="61"/>
    </row>
    <row r="950" spans="1:1" ht="12.95">
      <c r="A950" s="61"/>
    </row>
    <row r="951" spans="1:1" ht="12.95">
      <c r="A951" s="61"/>
    </row>
    <row r="952" spans="1:1" ht="12.95">
      <c r="A952" s="61"/>
    </row>
    <row r="953" spans="1:1" ht="12.95">
      <c r="A953" s="61"/>
    </row>
    <row r="954" spans="1:1" ht="12.95">
      <c r="A954" s="61"/>
    </row>
    <row r="955" spans="1:1" ht="12.95">
      <c r="A955" s="61"/>
    </row>
    <row r="956" spans="1:1" ht="12.95">
      <c r="A956" s="61"/>
    </row>
    <row r="957" spans="1:1" ht="12.95">
      <c r="A957" s="61"/>
    </row>
    <row r="958" spans="1:1" ht="12.95">
      <c r="A958" s="61"/>
    </row>
    <row r="959" spans="1:1" ht="12.95">
      <c r="A959" s="61"/>
    </row>
    <row r="960" spans="1:1" ht="12.95">
      <c r="A960" s="61"/>
    </row>
    <row r="961" spans="1:1" ht="12.95">
      <c r="A961" s="61"/>
    </row>
    <row r="962" spans="1:1" ht="12.95">
      <c r="A962" s="61"/>
    </row>
    <row r="963" spans="1:1" ht="12.95">
      <c r="A963" s="61"/>
    </row>
    <row r="964" spans="1:1" ht="12.95">
      <c r="A964" s="61"/>
    </row>
    <row r="965" spans="1:1" ht="12.95">
      <c r="A965" s="61"/>
    </row>
    <row r="966" spans="1:1" ht="12.95">
      <c r="A966" s="61"/>
    </row>
    <row r="967" spans="1:1" ht="12.95">
      <c r="A967" s="61"/>
    </row>
    <row r="968" spans="1:1" ht="12.95">
      <c r="A968" s="61"/>
    </row>
    <row r="969" spans="1:1" ht="12.95">
      <c r="A969" s="61"/>
    </row>
    <row r="970" spans="1:1" ht="12.95">
      <c r="A970" s="61"/>
    </row>
    <row r="971" spans="1:1" ht="12.95">
      <c r="A971" s="61"/>
    </row>
    <row r="972" spans="1:1" ht="12.95">
      <c r="A972" s="61"/>
    </row>
    <row r="973" spans="1:1" ht="12.95">
      <c r="A973" s="61"/>
    </row>
    <row r="974" spans="1:1" ht="12.95">
      <c r="A974" s="61"/>
    </row>
    <row r="975" spans="1:1" ht="12.95">
      <c r="A975" s="61"/>
    </row>
    <row r="976" spans="1:1" ht="12.95">
      <c r="A976" s="61"/>
    </row>
    <row r="977" spans="1:1" ht="12.95">
      <c r="A977" s="61"/>
    </row>
    <row r="978" spans="1:1" ht="12.95">
      <c r="A978" s="61"/>
    </row>
    <row r="979" spans="1:1" ht="12.95">
      <c r="A979" s="61"/>
    </row>
    <row r="980" spans="1:1" ht="12.95">
      <c r="A980" s="61"/>
    </row>
    <row r="981" spans="1:1" ht="12.95">
      <c r="A981" s="61"/>
    </row>
    <row r="982" spans="1:1" ht="12.95">
      <c r="A982" s="61"/>
    </row>
    <row r="983" spans="1:1" ht="12.95">
      <c r="A983" s="61"/>
    </row>
    <row r="984" spans="1:1" ht="12.95">
      <c r="A984" s="61"/>
    </row>
    <row r="985" spans="1:1" ht="12.95">
      <c r="A985" s="61"/>
    </row>
    <row r="986" spans="1:1" ht="12.95">
      <c r="A986" s="61"/>
    </row>
    <row r="987" spans="1:1" ht="12.95">
      <c r="A987" s="61"/>
    </row>
    <row r="988" spans="1:1" ht="12.95">
      <c r="A988" s="61"/>
    </row>
    <row r="989" spans="1:1" ht="12.95">
      <c r="A989" s="61"/>
    </row>
    <row r="990" spans="1:1" ht="12.95">
      <c r="A990" s="61"/>
    </row>
    <row r="991" spans="1:1" ht="12.95">
      <c r="A991" s="61"/>
    </row>
    <row r="992" spans="1:1" ht="12.95">
      <c r="A992" s="61"/>
    </row>
    <row r="993" spans="1:1" ht="12.95">
      <c r="A993" s="61"/>
    </row>
    <row r="994" spans="1:1" ht="12.95">
      <c r="A994" s="61"/>
    </row>
    <row r="995" spans="1:1" ht="12.95">
      <c r="A995" s="61"/>
    </row>
    <row r="996" spans="1:1" ht="12.95">
      <c r="A996" s="61"/>
    </row>
    <row r="997" spans="1:1" ht="12.95">
      <c r="A997" s="61"/>
    </row>
    <row r="998" spans="1:1" ht="12.95">
      <c r="A998" s="61"/>
    </row>
    <row r="999" spans="1:1" ht="12.95">
      <c r="A999" s="61"/>
    </row>
    <row r="1000" spans="1:1" ht="12.95">
      <c r="A1000" s="61"/>
    </row>
    <row r="1001" spans="1:1" ht="12.95">
      <c r="A1001" s="61"/>
    </row>
  </sheetData>
  <mergeCells count="28">
    <mergeCell ref="N28:P28"/>
    <mergeCell ref="N29:P29"/>
    <mergeCell ref="M30:P30"/>
    <mergeCell ref="A43:K43"/>
    <mergeCell ref="P10:Q10"/>
    <mergeCell ref="M11:Q11"/>
    <mergeCell ref="M13:P13"/>
    <mergeCell ref="M20:P20"/>
    <mergeCell ref="M22:P22"/>
    <mergeCell ref="N23:P23"/>
    <mergeCell ref="N24:P24"/>
    <mergeCell ref="P8:Q8"/>
    <mergeCell ref="P9:Q9"/>
    <mergeCell ref="N25:P25"/>
    <mergeCell ref="N26:P26"/>
    <mergeCell ref="N27:P27"/>
    <mergeCell ref="P3:Q3"/>
    <mergeCell ref="P4:Q4"/>
    <mergeCell ref="P5:Q5"/>
    <mergeCell ref="P6:Q6"/>
    <mergeCell ref="P7:Q7"/>
    <mergeCell ref="A1:K1"/>
    <mergeCell ref="M1:Q1"/>
    <mergeCell ref="B2:C2"/>
    <mergeCell ref="D2:E2"/>
    <mergeCell ref="F2:I2"/>
    <mergeCell ref="J2:K2"/>
    <mergeCell ref="P2:Q2"/>
  </mergeCells>
  <hyperlinks>
    <hyperlink ref="M11" r:id="rId1" xr:uid="{00000000-0004-0000-0300-000000000000}"/>
    <hyperlink ref="M20" r:id="rId2" xr:uid="{00000000-0004-0000-0300-000001000000}"/>
    <hyperlink ref="M30" r:id="rId3" xr:uid="{00000000-0004-0000-0300-000002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DE9F585DC8F40B0E84E01E8517F06" ma:contentTypeVersion="18" ma:contentTypeDescription="Create a new document." ma:contentTypeScope="" ma:versionID="1ef56ef3451387fa135802c24f79120e">
  <xsd:schema xmlns:xsd="http://www.w3.org/2001/XMLSchema" xmlns:xs="http://www.w3.org/2001/XMLSchema" xmlns:p="http://schemas.microsoft.com/office/2006/metadata/properties" xmlns:ns2="59ed0f22-5706-4746-b84b-503369b7a859" xmlns:ns3="3c9ee541-6375-4361-8ab6-60b6eb41dab8" targetNamespace="http://schemas.microsoft.com/office/2006/metadata/properties" ma:root="true" ma:fieldsID="93af3fcbef052c8f6d724f4ee1963cf1" ns2:_="" ns3:_="">
    <xsd:import namespace="59ed0f22-5706-4746-b84b-503369b7a859"/>
    <xsd:import namespace="3c9ee541-6375-4361-8ab6-60b6eb41da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d0f22-5706-4746-b84b-503369b7a8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23fac78-02a7-4272-8915-479436552f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ee541-6375-4361-8ab6-60b6eb41dab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c93681-85a2-4a2a-818e-957410fd89c2}" ma:internalName="TaxCatchAll" ma:showField="CatchAllData" ma:web="3c9ee541-6375-4361-8ab6-60b6eb41da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ed0f22-5706-4746-b84b-503369b7a859">
      <Terms xmlns="http://schemas.microsoft.com/office/infopath/2007/PartnerControls"/>
    </lcf76f155ced4ddcb4097134ff3c332f>
    <TaxCatchAll xmlns="3c9ee541-6375-4361-8ab6-60b6eb41da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364F33-CDB6-4E3F-B0CF-61D2583B880A}"/>
</file>

<file path=customXml/itemProps2.xml><?xml version="1.0" encoding="utf-8"?>
<ds:datastoreItem xmlns:ds="http://schemas.openxmlformats.org/officeDocument/2006/customXml" ds:itemID="{6F8212F8-B1C3-45CD-9AA5-E7C945C94A48}"/>
</file>

<file path=customXml/itemProps3.xml><?xml version="1.0" encoding="utf-8"?>
<ds:datastoreItem xmlns:ds="http://schemas.openxmlformats.org/officeDocument/2006/customXml" ds:itemID="{60B67B64-DEFE-4BB8-815D-582462BBF3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2026-03-02T12:52:55Z</dcterms:created>
  <dcterms:modified xsi:type="dcterms:W3CDTF">2026-03-02T13:44:06Z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0x010100140DE9F585DC8F40B0E84E01E8517F06</vt:lpwstr>
  </property>
  <property fmtid="{D5CDD505-2E9C-101B-9397-08002B2CF9AE}" pid="3" name="Order">
    <vt:r8>110400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